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afarudin.gazali\Downloads\"/>
    </mc:Choice>
  </mc:AlternateContent>
  <xr:revisionPtr revIDLastSave="0" documentId="13_ncr:1_{53065447-9600-45D2-941D-14FA13832C2D}" xr6:coauthVersionLast="47" xr6:coauthVersionMax="47" xr10:uidLastSave="{00000000-0000-0000-0000-000000000000}"/>
  <bookViews>
    <workbookView xWindow="7236" yWindow="696" windowWidth="13788" windowHeight="11136" firstSheet="1" activeTab="4" xr2:uid="{00000000-000D-0000-FFFF-FFFF00000000}"/>
  </bookViews>
  <sheets>
    <sheet name="No PCM (Control)" sheetId="1" r:id="rId1"/>
    <sheet name="ANN" sheetId="4" r:id="rId2"/>
    <sheet name="Parafin" sheetId="2" r:id="rId3"/>
    <sheet name="Beeswax" sheetId="3" r:id="rId4"/>
    <sheet name="Grap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62" i="1" l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7" i="1"/>
  <c r="CF41" i="1"/>
  <c r="CF27" i="1"/>
  <c r="CF13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7" i="1"/>
  <c r="BK55" i="1"/>
  <c r="BK41" i="1"/>
  <c r="BK27" i="1"/>
  <c r="BK13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7" i="1"/>
  <c r="AO54" i="1"/>
  <c r="AO41" i="1"/>
  <c r="AO27" i="1"/>
  <c r="AO13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7" i="1"/>
  <c r="S55" i="1"/>
  <c r="S41" i="1"/>
  <c r="S26" i="1"/>
  <c r="S13" i="1"/>
</calcChain>
</file>

<file path=xl/sharedStrings.xml><?xml version="1.0" encoding="utf-8"?>
<sst xmlns="http://schemas.openxmlformats.org/spreadsheetml/2006/main" count="3200" uniqueCount="628">
  <si>
    <t>BLDC</t>
  </si>
  <si>
    <t>1500w 48v</t>
  </si>
  <si>
    <t>Controller</t>
  </si>
  <si>
    <t>Votol 50a</t>
  </si>
  <si>
    <t>Battery Type</t>
  </si>
  <si>
    <t>15ah, Jikong smart bms, no pcm</t>
  </si>
  <si>
    <t>Treatment</t>
  </si>
  <si>
    <t>With Pulley no extra weight</t>
  </si>
  <si>
    <t>Sebelum</t>
  </si>
  <si>
    <t>Sesudah</t>
  </si>
  <si>
    <t>With Pulley 25% extra weight</t>
  </si>
  <si>
    <t>With Pulley 50% extra weight</t>
  </si>
  <si>
    <t>With Pulley 75% extra weight</t>
  </si>
  <si>
    <t>With Pulley 100% extra weight</t>
  </si>
  <si>
    <t>No Pulley</t>
  </si>
  <si>
    <t>No</t>
  </si>
  <si>
    <t>Durasi Percobaan</t>
  </si>
  <si>
    <t>Status Baterai</t>
  </si>
  <si>
    <t>Status Controller</t>
  </si>
  <si>
    <t>Perlakuan</t>
  </si>
  <si>
    <t>Nomor Rangkaian Seri</t>
  </si>
  <si>
    <t>Suhu (°C)</t>
  </si>
  <si>
    <t>Voltase</t>
  </si>
  <si>
    <t>Persentase Kapasitas Baterai (%)</t>
  </si>
  <si>
    <t>Suhu</t>
  </si>
  <si>
    <t>Suhu Ruangan Uji Coba</t>
  </si>
  <si>
    <t>Persentase Akselerator</t>
  </si>
  <si>
    <t>RPM</t>
  </si>
  <si>
    <t>5 Menit</t>
  </si>
  <si>
    <t>S1</t>
  </si>
  <si>
    <t>186-194</t>
  </si>
  <si>
    <t>184-191</t>
  </si>
  <si>
    <t>191-195</t>
  </si>
  <si>
    <t>175-182</t>
  </si>
  <si>
    <t>169=174</t>
  </si>
  <si>
    <t>195-196</t>
  </si>
  <si>
    <t>197-200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</si>
  <si>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</si>
  <si>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</si>
  <si>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</si>
  <si>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</si>
  <si>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</si>
  <si>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</si>
  <si>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</si>
  <si>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</si>
  <si>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</si>
  <si>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</si>
  <si>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</si>
  <si>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</si>
  <si>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334-347</t>
  </si>
  <si>
    <t>333-342</t>
  </si>
  <si>
    <t>358-359</t>
  </si>
  <si>
    <t>349-350</t>
  </si>
  <si>
    <t>350-351</t>
  </si>
  <si>
    <t>339-347</t>
  </si>
  <si>
    <t>337-338</t>
  </si>
  <si>
    <t>322-326</t>
  </si>
  <si>
    <t>323-326</t>
  </si>
  <si>
    <t>506-519</t>
  </si>
  <si>
    <t>505-516</t>
  </si>
  <si>
    <t>510-517</t>
  </si>
  <si>
    <t>507-513</t>
  </si>
  <si>
    <t>502-510</t>
  </si>
  <si>
    <t>491-492</t>
  </si>
  <si>
    <t>420-432</t>
  </si>
  <si>
    <t>479-482</t>
  </si>
  <si>
    <t>493-494</t>
  </si>
  <si>
    <t>490-491</t>
  </si>
  <si>
    <t>620-641</t>
  </si>
  <si>
    <t>629-635</t>
  </si>
  <si>
    <t>674-678</t>
  </si>
  <si>
    <t>675-678</t>
  </si>
  <si>
    <t>522-529</t>
  </si>
  <si>
    <t>487-495</t>
  </si>
  <si>
    <t>691-692</t>
  </si>
  <si>
    <t>15ah, Jikong smart bms, Parafin</t>
  </si>
  <si>
    <t>31.7</t>
  </si>
  <si>
    <t>182-187</t>
  </si>
  <si>
    <t>32.2</t>
  </si>
  <si>
    <t>184-187</t>
  </si>
  <si>
    <t>51.54</t>
  </si>
  <si>
    <t>51.45</t>
  </si>
  <si>
    <t>32.5</t>
  </si>
  <si>
    <t>359-362</t>
  </si>
  <si>
    <t>32.9</t>
  </si>
  <si>
    <t>360-361</t>
  </si>
  <si>
    <t>3..936</t>
  </si>
  <si>
    <t>51.27</t>
  </si>
  <si>
    <t>51.12</t>
  </si>
  <si>
    <t>33.4</t>
  </si>
  <si>
    <t>521-523</t>
  </si>
  <si>
    <t>34.1</t>
  </si>
  <si>
    <t>521-524</t>
  </si>
  <si>
    <t>50.09</t>
  </si>
  <si>
    <t>49.81</t>
  </si>
  <si>
    <t>36.8</t>
  </si>
  <si>
    <t>693-699</t>
  </si>
  <si>
    <t>36.4</t>
  </si>
  <si>
    <t>47.55</t>
  </si>
  <si>
    <t>48.29</t>
  </si>
  <si>
    <t>15ah, Jikong smart bms, Beeswax</t>
  </si>
  <si>
    <t>Delta T</t>
  </si>
  <si>
    <t>Delta V series</t>
  </si>
  <si>
    <t>Delta V</t>
  </si>
  <si>
    <t>Delta V S1</t>
  </si>
  <si>
    <t>Delta V S2</t>
  </si>
  <si>
    <t>Delta V S3</t>
  </si>
  <si>
    <t>Delta V S4</t>
  </si>
  <si>
    <t>Delta V S5</t>
  </si>
  <si>
    <t>Delta V S6</t>
  </si>
  <si>
    <t>Delta V S7</t>
  </si>
  <si>
    <t>Delta V S8</t>
  </si>
  <si>
    <t>Delta V S9</t>
  </si>
  <si>
    <t>Delta V S10</t>
  </si>
  <si>
    <t>Delta V S11</t>
  </si>
  <si>
    <t>Delta V S12</t>
  </si>
  <si>
    <t>Delta V S13</t>
  </si>
  <si>
    <t>Load</t>
  </si>
  <si>
    <t>Train</t>
  </si>
  <si>
    <t>Test</t>
  </si>
  <si>
    <t>Validation</t>
  </si>
  <si>
    <t>Case name</t>
  </si>
  <si>
    <t>Delta T - Output</t>
  </si>
  <si>
    <t>Delta T - Std. Res.</t>
  </si>
  <si>
    <t>Delta T - Abs. Res.</t>
  </si>
  <si>
    <t>Delta T - Squared Res.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</si>
  <si>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</si>
  <si>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</si>
  <si>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</si>
  <si>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</si>
  <si>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</si>
  <si>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</si>
  <si>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</si>
  <si>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</si>
  <si>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</si>
  <si>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</si>
  <si>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</si>
  <si>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</si>
  <si>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</si>
  <si>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</si>
  <si>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r>
      <rPr>
        <sz val="10"/>
        <color indexed="8"/>
        <rFont val="Arial"/>
      </rPr>
      <t>Predictions spreadsheet for Delta T (Spreadsheet23batery.sta)
Samples: Train, Test, Validation</t>
    </r>
  </si>
  <si>
    <t xml:space="preserve">Weight ID </t>
  </si>
  <si>
    <t>Network weights (Spreadsheet23batery.sta)</t>
  </si>
  <si>
    <t>Connections</t>
  </si>
  <si>
    <t>Weight values</t>
  </si>
  <si>
    <t>RPM --&gt; hidden neuron 1</t>
  </si>
  <si>
    <t>Load --&gt; hidden neuron 1</t>
  </si>
  <si>
    <t>Delta V S1 --&gt; hidden neuron 1</t>
  </si>
  <si>
    <t>Delta V S2 --&gt; hidden neuron 1</t>
  </si>
  <si>
    <t>Delta V S3 --&gt; hidden neuron 1</t>
  </si>
  <si>
    <t>Delta V S4 --&gt; hidden neuron 1</t>
  </si>
  <si>
    <t>Delta V S5 --&gt; hidden neuron 1</t>
  </si>
  <si>
    <t>Delta V S6 --&gt; hidden neuron 1</t>
  </si>
  <si>
    <t>Delta V S7 --&gt; hidden neuron 1</t>
  </si>
  <si>
    <t>Delta V S8 --&gt; hidden neuron 1</t>
  </si>
  <si>
    <t>Delta V S9 --&gt; hidden neuron 1</t>
  </si>
  <si>
    <t>Delta V S10 --&gt; hidden neuron 1</t>
  </si>
  <si>
    <t>Delta V S11 --&gt; hidden neuron 1</t>
  </si>
  <si>
    <t>Delta V S12 --&gt; hidden neuron 1</t>
  </si>
  <si>
    <t>15</t>
  </si>
  <si>
    <t>Delta V S13 --&gt; hidden neuron 1</t>
  </si>
  <si>
    <t>16</t>
  </si>
  <si>
    <t>RPM --&gt; hidden neuron 2</t>
  </si>
  <si>
    <t>17</t>
  </si>
  <si>
    <t>Load --&gt; hidden neuron 2</t>
  </si>
  <si>
    <t>18</t>
  </si>
  <si>
    <t>Delta V S1 --&gt; hidden neuron 2</t>
  </si>
  <si>
    <t>19</t>
  </si>
  <si>
    <t>Delta V S2 --&gt; hidden neuron 2</t>
  </si>
  <si>
    <t>20</t>
  </si>
  <si>
    <t>Delta V S3 --&gt; hidden neuron 2</t>
  </si>
  <si>
    <t>21</t>
  </si>
  <si>
    <t>Delta V S4 --&gt; hidden neuron 2</t>
  </si>
  <si>
    <t>22</t>
  </si>
  <si>
    <t>Delta V S5 --&gt; hidden neuron 2</t>
  </si>
  <si>
    <t>23</t>
  </si>
  <si>
    <t>Delta V S6 --&gt; hidden neuron 2</t>
  </si>
  <si>
    <t>24</t>
  </si>
  <si>
    <t>Delta V S7 --&gt; hidden neuron 2</t>
  </si>
  <si>
    <t>25</t>
  </si>
  <si>
    <t>Delta V S8 --&gt; hidden neuron 2</t>
  </si>
  <si>
    <t>26</t>
  </si>
  <si>
    <t>Delta V S9 --&gt; hidden neuron 2</t>
  </si>
  <si>
    <t>27</t>
  </si>
  <si>
    <t>Delta V S10 --&gt; hidden neuron 2</t>
  </si>
  <si>
    <t>28</t>
  </si>
  <si>
    <t>Delta V S11 --&gt; hidden neuron 2</t>
  </si>
  <si>
    <t>29</t>
  </si>
  <si>
    <t>Delta V S12 --&gt; hidden neuron 2</t>
  </si>
  <si>
    <t>30</t>
  </si>
  <si>
    <t>Delta V S13 --&gt; hidden neuron 2</t>
  </si>
  <si>
    <t>31</t>
  </si>
  <si>
    <t>RPM --&gt; hidden neuron 3</t>
  </si>
  <si>
    <t>32</t>
  </si>
  <si>
    <t>Load --&gt; hidden neuron 3</t>
  </si>
  <si>
    <t>33</t>
  </si>
  <si>
    <t>Delta V S1 --&gt; hidden neuron 3</t>
  </si>
  <si>
    <t>34</t>
  </si>
  <si>
    <t>Delta V S2 --&gt; hidden neuron 3</t>
  </si>
  <si>
    <t>35</t>
  </si>
  <si>
    <t>Delta V S3 --&gt; hidden neuron 3</t>
  </si>
  <si>
    <t>36</t>
  </si>
  <si>
    <t>Delta V S4 --&gt; hidden neuron 3</t>
  </si>
  <si>
    <t>37</t>
  </si>
  <si>
    <t>Delta V S5 --&gt; hidden neuron 3</t>
  </si>
  <si>
    <t>38</t>
  </si>
  <si>
    <t>Delta V S6 --&gt; hidden neuron 3</t>
  </si>
  <si>
    <t>39</t>
  </si>
  <si>
    <t>Delta V S7 --&gt; hidden neuron 3</t>
  </si>
  <si>
    <t>40</t>
  </si>
  <si>
    <t>Delta V S8 --&gt; hidden neuron 3</t>
  </si>
  <si>
    <t>41</t>
  </si>
  <si>
    <t>Delta V S9 --&gt; hidden neuron 3</t>
  </si>
  <si>
    <t>42</t>
  </si>
  <si>
    <t>Delta V S10 --&gt; hidden neuron 3</t>
  </si>
  <si>
    <t>43</t>
  </si>
  <si>
    <t>Delta V S11 --&gt; hidden neuron 3</t>
  </si>
  <si>
    <t>44</t>
  </si>
  <si>
    <t>Delta V S12 --&gt; hidden neuron 3</t>
  </si>
  <si>
    <t>45</t>
  </si>
  <si>
    <t>Delta V S13 --&gt; hidden neuron 3</t>
  </si>
  <si>
    <t>46</t>
  </si>
  <si>
    <t>RPM --&gt; hidden neuron 4</t>
  </si>
  <si>
    <t>47</t>
  </si>
  <si>
    <t>Load --&gt; hidden neuron 4</t>
  </si>
  <si>
    <t>48</t>
  </si>
  <si>
    <t>Delta V S1 --&gt; hidden neuron 4</t>
  </si>
  <si>
    <t>49</t>
  </si>
  <si>
    <t>Delta V S2 --&gt; hidden neuron 4</t>
  </si>
  <si>
    <t>50</t>
  </si>
  <si>
    <t>Delta V S3 --&gt; hidden neuron 4</t>
  </si>
  <si>
    <t>51</t>
  </si>
  <si>
    <t>Delta V S4 --&gt; hidden neuron 4</t>
  </si>
  <si>
    <t>52</t>
  </si>
  <si>
    <t>Delta V S5 --&gt; hidden neuron 4</t>
  </si>
  <si>
    <t>53</t>
  </si>
  <si>
    <t>Delta V S6 --&gt; hidden neuron 4</t>
  </si>
  <si>
    <t>54</t>
  </si>
  <si>
    <t>Delta V S7 --&gt; hidden neuron 4</t>
  </si>
  <si>
    <t>55</t>
  </si>
  <si>
    <t>Delta V S8 --&gt; hidden neuron 4</t>
  </si>
  <si>
    <t>56</t>
  </si>
  <si>
    <t>Delta V S9 --&gt; hidden neuron 4</t>
  </si>
  <si>
    <t>57</t>
  </si>
  <si>
    <t>Delta V S10 --&gt; hidden neuron 4</t>
  </si>
  <si>
    <t>58</t>
  </si>
  <si>
    <t>Delta V S11 --&gt; hidden neuron 4</t>
  </si>
  <si>
    <t>59</t>
  </si>
  <si>
    <t>Delta V S12 --&gt; hidden neuron 4</t>
  </si>
  <si>
    <t>60</t>
  </si>
  <si>
    <t>Delta V S13 --&gt; hidden neuron 4</t>
  </si>
  <si>
    <t>61</t>
  </si>
  <si>
    <t>RPM --&gt; hidden neuron 5</t>
  </si>
  <si>
    <t>62</t>
  </si>
  <si>
    <t>Load --&gt; hidden neuron 5</t>
  </si>
  <si>
    <t>63</t>
  </si>
  <si>
    <t>Delta V S1 --&gt; hidden neuron 5</t>
  </si>
  <si>
    <t>64</t>
  </si>
  <si>
    <t>Delta V S2 --&gt; hidden neuron 5</t>
  </si>
  <si>
    <t>65</t>
  </si>
  <si>
    <t>Delta V S3 --&gt; hidden neuron 5</t>
  </si>
  <si>
    <t>66</t>
  </si>
  <si>
    <t>Delta V S4 --&gt; hidden neuron 5</t>
  </si>
  <si>
    <t>67</t>
  </si>
  <si>
    <t>Delta V S5 --&gt; hidden neuron 5</t>
  </si>
  <si>
    <t>68</t>
  </si>
  <si>
    <t>Delta V S6 --&gt; hidden neuron 5</t>
  </si>
  <si>
    <t>69</t>
  </si>
  <si>
    <t>Delta V S7 --&gt; hidden neuron 5</t>
  </si>
  <si>
    <t>70</t>
  </si>
  <si>
    <t>Delta V S8 --&gt; hidden neuron 5</t>
  </si>
  <si>
    <t>71</t>
  </si>
  <si>
    <t>Delta V S9 --&gt; hidden neuron 5</t>
  </si>
  <si>
    <t>72</t>
  </si>
  <si>
    <t>Delta V S10 --&gt; hidden neuron 5</t>
  </si>
  <si>
    <t>73</t>
  </si>
  <si>
    <t>Delta V S11 --&gt; hidden neuron 5</t>
  </si>
  <si>
    <t>74</t>
  </si>
  <si>
    <t>Delta V S12 --&gt; hidden neuron 5</t>
  </si>
  <si>
    <t>75</t>
  </si>
  <si>
    <t>Delta V S13 --&gt; hidden neuron 5</t>
  </si>
  <si>
    <t>76</t>
  </si>
  <si>
    <t>RPM --&gt; hidden neuron 6</t>
  </si>
  <si>
    <t>77</t>
  </si>
  <si>
    <t>Load --&gt; hidden neuron 6</t>
  </si>
  <si>
    <t>78</t>
  </si>
  <si>
    <t>Delta V S1 --&gt; hidden neuron 6</t>
  </si>
  <si>
    <t>79</t>
  </si>
  <si>
    <t>Delta V S2 --&gt; hidden neuron 6</t>
  </si>
  <si>
    <t>80</t>
  </si>
  <si>
    <t>Delta V S3 --&gt; hidden neuron 6</t>
  </si>
  <si>
    <t>81</t>
  </si>
  <si>
    <t>Delta V S4 --&gt; hidden neuron 6</t>
  </si>
  <si>
    <t>82</t>
  </si>
  <si>
    <t>Delta V S5 --&gt; hidden neuron 6</t>
  </si>
  <si>
    <t>83</t>
  </si>
  <si>
    <t>Delta V S6 --&gt; hidden neuron 6</t>
  </si>
  <si>
    <t>84</t>
  </si>
  <si>
    <t>Delta V S7 --&gt; hidden neuron 6</t>
  </si>
  <si>
    <t>85</t>
  </si>
  <si>
    <t>Delta V S8 --&gt; hidden neuron 6</t>
  </si>
  <si>
    <t>86</t>
  </si>
  <si>
    <t>Delta V S9 --&gt; hidden neuron 6</t>
  </si>
  <si>
    <t>87</t>
  </si>
  <si>
    <t>Delta V S10 --&gt; hidden neuron 6</t>
  </si>
  <si>
    <t>88</t>
  </si>
  <si>
    <t>Delta V S11 --&gt; hidden neuron 6</t>
  </si>
  <si>
    <t>89</t>
  </si>
  <si>
    <t>Delta V S12 --&gt; hidden neuron 6</t>
  </si>
  <si>
    <t>90</t>
  </si>
  <si>
    <t>Delta V S13 --&gt; hidden neuron 6</t>
  </si>
  <si>
    <t>91</t>
  </si>
  <si>
    <t>RPM --&gt; hidden neuron 7</t>
  </si>
  <si>
    <t>92</t>
  </si>
  <si>
    <t>Load --&gt; hidden neuron 7</t>
  </si>
  <si>
    <t>93</t>
  </si>
  <si>
    <t>Delta V S1 --&gt; hidden neuron 7</t>
  </si>
  <si>
    <t>94</t>
  </si>
  <si>
    <t>Delta V S2 --&gt; hidden neuron 7</t>
  </si>
  <si>
    <t>95</t>
  </si>
  <si>
    <t>Delta V S3 --&gt; hidden neuron 7</t>
  </si>
  <si>
    <t>96</t>
  </si>
  <si>
    <t>Delta V S4 --&gt; hidden neuron 7</t>
  </si>
  <si>
    <t>97</t>
  </si>
  <si>
    <t>Delta V S5 --&gt; hidden neuron 7</t>
  </si>
  <si>
    <t>98</t>
  </si>
  <si>
    <t>Delta V S6 --&gt; hidden neuron 7</t>
  </si>
  <si>
    <t>99</t>
  </si>
  <si>
    <t>Delta V S7 --&gt; hidden neuron 7</t>
  </si>
  <si>
    <t>100</t>
  </si>
  <si>
    <t>Delta V S8 --&gt; hidden neuron 7</t>
  </si>
  <si>
    <t>101</t>
  </si>
  <si>
    <t>Delta V S9 --&gt; hidden neuron 7</t>
  </si>
  <si>
    <t>102</t>
  </si>
  <si>
    <t>Delta V S10 --&gt; hidden neuron 7</t>
  </si>
  <si>
    <t>103</t>
  </si>
  <si>
    <t>Delta V S11 --&gt; hidden neuron 7</t>
  </si>
  <si>
    <t>104</t>
  </si>
  <si>
    <t>Delta V S12 --&gt; hidden neuron 7</t>
  </si>
  <si>
    <t>105</t>
  </si>
  <si>
    <t>Delta V S13 --&gt; hidden neuron 7</t>
  </si>
  <si>
    <t>106</t>
  </si>
  <si>
    <t>RPM --&gt; hidden neuron 8</t>
  </si>
  <si>
    <t>107</t>
  </si>
  <si>
    <t>Load --&gt; hidden neuron 8</t>
  </si>
  <si>
    <t>108</t>
  </si>
  <si>
    <t>Delta V S1 --&gt; hidden neuron 8</t>
  </si>
  <si>
    <t>109</t>
  </si>
  <si>
    <t>Delta V S2 --&gt; hidden neuron 8</t>
  </si>
  <si>
    <t>110</t>
  </si>
  <si>
    <t>Delta V S3 --&gt; hidden neuron 8</t>
  </si>
  <si>
    <t>111</t>
  </si>
  <si>
    <t>Delta V S4 --&gt; hidden neuron 8</t>
  </si>
  <si>
    <t>112</t>
  </si>
  <si>
    <t>Delta V S5 --&gt; hidden neuron 8</t>
  </si>
  <si>
    <t>113</t>
  </si>
  <si>
    <t>Delta V S6 --&gt; hidden neuron 8</t>
  </si>
  <si>
    <t>114</t>
  </si>
  <si>
    <t>Delta V S7 --&gt; hidden neuron 8</t>
  </si>
  <si>
    <t>115</t>
  </si>
  <si>
    <t>Delta V S8 --&gt; hidden neuron 8</t>
  </si>
  <si>
    <t>116</t>
  </si>
  <si>
    <t>Delta V S9 --&gt; hidden neuron 8</t>
  </si>
  <si>
    <t>117</t>
  </si>
  <si>
    <t>Delta V S10 --&gt; hidden neuron 8</t>
  </si>
  <si>
    <t>118</t>
  </si>
  <si>
    <t>Delta V S11 --&gt; hidden neuron 8</t>
  </si>
  <si>
    <t>119</t>
  </si>
  <si>
    <t>Delta V S12 --&gt; hidden neuron 8</t>
  </si>
  <si>
    <t>120</t>
  </si>
  <si>
    <t>Delta V S13 --&gt; hidden neuron 8</t>
  </si>
  <si>
    <t>121</t>
  </si>
  <si>
    <t>RPM --&gt; hidden neuron 9</t>
  </si>
  <si>
    <t>122</t>
  </si>
  <si>
    <t>Load --&gt; hidden neuron 9</t>
  </si>
  <si>
    <t>123</t>
  </si>
  <si>
    <t>Delta V S1 --&gt; hidden neuron 9</t>
  </si>
  <si>
    <t>124</t>
  </si>
  <si>
    <t>Delta V S2 --&gt; hidden neuron 9</t>
  </si>
  <si>
    <t>125</t>
  </si>
  <si>
    <t>Delta V S3 --&gt; hidden neuron 9</t>
  </si>
  <si>
    <t>126</t>
  </si>
  <si>
    <t>Delta V S4 --&gt; hidden neuron 9</t>
  </si>
  <si>
    <t>127</t>
  </si>
  <si>
    <t>Delta V S5 --&gt; hidden neuron 9</t>
  </si>
  <si>
    <t>128</t>
  </si>
  <si>
    <t>Delta V S6 --&gt; hidden neuron 9</t>
  </si>
  <si>
    <t>129</t>
  </si>
  <si>
    <t>Delta V S7 --&gt; hidden neuron 9</t>
  </si>
  <si>
    <t>130</t>
  </si>
  <si>
    <t>Delta V S8 --&gt; hidden neuron 9</t>
  </si>
  <si>
    <t>131</t>
  </si>
  <si>
    <t>Delta V S9 --&gt; hidden neuron 9</t>
  </si>
  <si>
    <t>132</t>
  </si>
  <si>
    <t>Delta V S10 --&gt; hidden neuron 9</t>
  </si>
  <si>
    <t>133</t>
  </si>
  <si>
    <t>Delta V S11 --&gt; hidden neuron 9</t>
  </si>
  <si>
    <t>134</t>
  </si>
  <si>
    <t>Delta V S12 --&gt; hidden neuron 9</t>
  </si>
  <si>
    <t>135</t>
  </si>
  <si>
    <t>Delta V S13 --&gt; hidden neuron 9</t>
  </si>
  <si>
    <t>136</t>
  </si>
  <si>
    <t>RPM --&gt; hidden neuron 10</t>
  </si>
  <si>
    <t>137</t>
  </si>
  <si>
    <t>Load --&gt; hidden neuron 10</t>
  </si>
  <si>
    <t>138</t>
  </si>
  <si>
    <t>Delta V S1 --&gt; hidden neuron 10</t>
  </si>
  <si>
    <t>139</t>
  </si>
  <si>
    <t>Delta V S2 --&gt; hidden neuron 10</t>
  </si>
  <si>
    <t>140</t>
  </si>
  <si>
    <t>Delta V S3 --&gt; hidden neuron 10</t>
  </si>
  <si>
    <t>141</t>
  </si>
  <si>
    <t>Delta V S4 --&gt; hidden neuron 10</t>
  </si>
  <si>
    <t>142</t>
  </si>
  <si>
    <t>Delta V S5 --&gt; hidden neuron 10</t>
  </si>
  <si>
    <t>143</t>
  </si>
  <si>
    <t>Delta V S6 --&gt; hidden neuron 10</t>
  </si>
  <si>
    <t>144</t>
  </si>
  <si>
    <t>Delta V S7 --&gt; hidden neuron 10</t>
  </si>
  <si>
    <t>145</t>
  </si>
  <si>
    <t>Delta V S8 --&gt; hidden neuron 10</t>
  </si>
  <si>
    <t>146</t>
  </si>
  <si>
    <t>Delta V S9 --&gt; hidden neuron 10</t>
  </si>
  <si>
    <t>147</t>
  </si>
  <si>
    <t>Delta V S10 --&gt; hidden neuron 10</t>
  </si>
  <si>
    <t>148</t>
  </si>
  <si>
    <t>Delta V S11 --&gt; hidden neuron 10</t>
  </si>
  <si>
    <t>149</t>
  </si>
  <si>
    <t>Delta V S12 --&gt; hidden neuron 10</t>
  </si>
  <si>
    <t>150</t>
  </si>
  <si>
    <t>Delta V S13 --&gt; hidden neuron 10</t>
  </si>
  <si>
    <t>151</t>
  </si>
  <si>
    <t>RPM --&gt; hidden neuron 11</t>
  </si>
  <si>
    <t>152</t>
  </si>
  <si>
    <t>Load --&gt; hidden neuron 11</t>
  </si>
  <si>
    <t>153</t>
  </si>
  <si>
    <t>Delta V S1 --&gt; hidden neuron 11</t>
  </si>
  <si>
    <t>154</t>
  </si>
  <si>
    <t>Delta V S2 --&gt; hidden neuron 11</t>
  </si>
  <si>
    <t>155</t>
  </si>
  <si>
    <t>Delta V S3 --&gt; hidden neuron 11</t>
  </si>
  <si>
    <t>156</t>
  </si>
  <si>
    <t>Delta V S4 --&gt; hidden neuron 11</t>
  </si>
  <si>
    <t>157</t>
  </si>
  <si>
    <t>Delta V S5 --&gt; hidden neuron 11</t>
  </si>
  <si>
    <t>158</t>
  </si>
  <si>
    <t>Delta V S6 --&gt; hidden neuron 11</t>
  </si>
  <si>
    <t>159</t>
  </si>
  <si>
    <t>Delta V S7 --&gt; hidden neuron 11</t>
  </si>
  <si>
    <t>160</t>
  </si>
  <si>
    <t>Delta V S8 --&gt; hidden neuron 11</t>
  </si>
  <si>
    <t>161</t>
  </si>
  <si>
    <t>Delta V S9 --&gt; hidden neuron 11</t>
  </si>
  <si>
    <t>162</t>
  </si>
  <si>
    <t>Delta V S10 --&gt; hidden neuron 11</t>
  </si>
  <si>
    <t>163</t>
  </si>
  <si>
    <t>Delta V S11 --&gt; hidden neuron 11</t>
  </si>
  <si>
    <t>164</t>
  </si>
  <si>
    <t>Delta V S12 --&gt; hidden neuron 11</t>
  </si>
  <si>
    <t>165</t>
  </si>
  <si>
    <t>Delta V S13 --&gt; hidden neuron 11</t>
  </si>
  <si>
    <t>166</t>
  </si>
  <si>
    <t>RPM --&gt; hidden neuron 12</t>
  </si>
  <si>
    <t>167</t>
  </si>
  <si>
    <t>Load --&gt; hidden neuron 12</t>
  </si>
  <si>
    <t>168</t>
  </si>
  <si>
    <t>Delta V S1 --&gt; hidden neuron 12</t>
  </si>
  <si>
    <t>169</t>
  </si>
  <si>
    <t>Delta V S2 --&gt; hidden neuron 12</t>
  </si>
  <si>
    <t>170</t>
  </si>
  <si>
    <t>Delta V S3 --&gt; hidden neuron 12</t>
  </si>
  <si>
    <t>171</t>
  </si>
  <si>
    <t>Delta V S4 --&gt; hidden neuron 12</t>
  </si>
  <si>
    <t>172</t>
  </si>
  <si>
    <t>Delta V S5 --&gt; hidden neuron 12</t>
  </si>
  <si>
    <t>173</t>
  </si>
  <si>
    <t>Delta V S6 --&gt; hidden neuron 12</t>
  </si>
  <si>
    <t>174</t>
  </si>
  <si>
    <t>Delta V S7 --&gt; hidden neuron 12</t>
  </si>
  <si>
    <t>175</t>
  </si>
  <si>
    <t>Delta V S8 --&gt; hidden neuron 12</t>
  </si>
  <si>
    <t>176</t>
  </si>
  <si>
    <t>Delta V S9 --&gt; hidden neuron 12</t>
  </si>
  <si>
    <t>177</t>
  </si>
  <si>
    <t>Delta V S10 --&gt; hidden neuron 12</t>
  </si>
  <si>
    <t>178</t>
  </si>
  <si>
    <t>Delta V S11 --&gt; hidden neuron 12</t>
  </si>
  <si>
    <t>179</t>
  </si>
  <si>
    <t>Delta V S12 --&gt; hidden neuron 12</t>
  </si>
  <si>
    <t>180</t>
  </si>
  <si>
    <t>Delta V S13 --&gt; hidden neuron 12</t>
  </si>
  <si>
    <t>181</t>
  </si>
  <si>
    <t>RPM --&gt; hidden neuron 13</t>
  </si>
  <si>
    <t>182</t>
  </si>
  <si>
    <t>Load --&gt; hidden neuron 13</t>
  </si>
  <si>
    <t>183</t>
  </si>
  <si>
    <t>Delta V S1 --&gt; hidden neuron 13</t>
  </si>
  <si>
    <t>184</t>
  </si>
  <si>
    <t>Delta V S2 --&gt; hidden neuron 13</t>
  </si>
  <si>
    <t>185</t>
  </si>
  <si>
    <t>Delta V S3 --&gt; hidden neuron 13</t>
  </si>
  <si>
    <t>186</t>
  </si>
  <si>
    <t>Delta V S4 --&gt; hidden neuron 13</t>
  </si>
  <si>
    <t>187</t>
  </si>
  <si>
    <t>Delta V S5 --&gt; hidden neuron 13</t>
  </si>
  <si>
    <t>188</t>
  </si>
  <si>
    <t>Delta V S6 --&gt; hidden neuron 13</t>
  </si>
  <si>
    <t>189</t>
  </si>
  <si>
    <t>Delta V S7 --&gt; hidden neuron 13</t>
  </si>
  <si>
    <t>190</t>
  </si>
  <si>
    <t>Delta V S8 --&gt; hidden neuron 13</t>
  </si>
  <si>
    <t>191</t>
  </si>
  <si>
    <t>Delta V S9 --&gt; hidden neuron 13</t>
  </si>
  <si>
    <t>192</t>
  </si>
  <si>
    <t>Delta V S10 --&gt; hidden neuron 13</t>
  </si>
  <si>
    <t>193</t>
  </si>
  <si>
    <t>Delta V S11 --&gt; hidden neuron 13</t>
  </si>
  <si>
    <t>194</t>
  </si>
  <si>
    <t>Delta V S12 --&gt; hidden neuron 13</t>
  </si>
  <si>
    <t>195</t>
  </si>
  <si>
    <t>Delta V S13 --&gt; hidden neuron 13</t>
  </si>
  <si>
    <t>196</t>
  </si>
  <si>
    <t>RPM --&gt; hidden neuron 14</t>
  </si>
  <si>
    <t>197</t>
  </si>
  <si>
    <t>Load --&gt; hidden neuron 14</t>
  </si>
  <si>
    <t>198</t>
  </si>
  <si>
    <t>Delta V S1 --&gt; hidden neuron 14</t>
  </si>
  <si>
    <t>199</t>
  </si>
  <si>
    <t>Delta V S2 --&gt; hidden neuron 14</t>
  </si>
  <si>
    <t>200</t>
  </si>
  <si>
    <t>Delta V S3 --&gt; hidden neuron 14</t>
  </si>
  <si>
    <t>201</t>
  </si>
  <si>
    <t>Delta V S4 --&gt; hidden neuron 14</t>
  </si>
  <si>
    <t>202</t>
  </si>
  <si>
    <t>Delta V S5 --&gt; hidden neuron 14</t>
  </si>
  <si>
    <t>203</t>
  </si>
  <si>
    <t>Delta V S6 --&gt; hidden neuron 14</t>
  </si>
  <si>
    <t>204</t>
  </si>
  <si>
    <t>Delta V S7 --&gt; hidden neuron 14</t>
  </si>
  <si>
    <t>205</t>
  </si>
  <si>
    <t>Delta V S8 --&gt; hidden neuron 14</t>
  </si>
  <si>
    <t>206</t>
  </si>
  <si>
    <t>Delta V S9 --&gt; hidden neuron 14</t>
  </si>
  <si>
    <t>207</t>
  </si>
  <si>
    <t>Delta V S10 --&gt; hidden neuron 14</t>
  </si>
  <si>
    <t>208</t>
  </si>
  <si>
    <t>Delta V S11 --&gt; hidden neuron 14</t>
  </si>
  <si>
    <t>209</t>
  </si>
  <si>
    <t>Delta V S12 --&gt; hidden neuron 14</t>
  </si>
  <si>
    <t>210</t>
  </si>
  <si>
    <t>Delta V S13 --&gt; hidden neuron 14</t>
  </si>
  <si>
    <t>211</t>
  </si>
  <si>
    <t>input bias --&gt; hidden neuron 1</t>
  </si>
  <si>
    <t>212</t>
  </si>
  <si>
    <t>input bias --&gt; hidden neuron 2</t>
  </si>
  <si>
    <t>213</t>
  </si>
  <si>
    <t>input bias --&gt; hidden neuron 3</t>
  </si>
  <si>
    <t>214</t>
  </si>
  <si>
    <t>input bias --&gt; hidden neuron 4</t>
  </si>
  <si>
    <t>215</t>
  </si>
  <si>
    <t>input bias --&gt; hidden neuron 5</t>
  </si>
  <si>
    <t>216</t>
  </si>
  <si>
    <t>input bias --&gt; hidden neuron 6</t>
  </si>
  <si>
    <t>217</t>
  </si>
  <si>
    <t>input bias --&gt; hidden neuron 7</t>
  </si>
  <si>
    <t>218</t>
  </si>
  <si>
    <t>input bias --&gt; hidden neuron 8</t>
  </si>
  <si>
    <t>219</t>
  </si>
  <si>
    <t>input bias --&gt; hidden neuron 9</t>
  </si>
  <si>
    <t>220</t>
  </si>
  <si>
    <t>input bias --&gt; hidden neuron 10</t>
  </si>
  <si>
    <t>221</t>
  </si>
  <si>
    <t>input bias --&gt; hidden neuron 11</t>
  </si>
  <si>
    <t>222</t>
  </si>
  <si>
    <t>input bias --&gt; hidden neuron 12</t>
  </si>
  <si>
    <t>223</t>
  </si>
  <si>
    <t>input bias --&gt; hidden neuron 13</t>
  </si>
  <si>
    <t>224</t>
  </si>
  <si>
    <t>input bias --&gt; hidden neuron 14</t>
  </si>
  <si>
    <t>225</t>
  </si>
  <si>
    <t>hidden neuron 1 --&gt; Delta T</t>
  </si>
  <si>
    <t>226</t>
  </si>
  <si>
    <t>hidden neuron 2 --&gt; Delta T</t>
  </si>
  <si>
    <t>227</t>
  </si>
  <si>
    <t>hidden neuron 3 --&gt; Delta T</t>
  </si>
  <si>
    <t>228</t>
  </si>
  <si>
    <t>hidden neuron 4 --&gt; Delta T</t>
  </si>
  <si>
    <t>229</t>
  </si>
  <si>
    <t>hidden neuron 5 --&gt; Delta T</t>
  </si>
  <si>
    <t>230</t>
  </si>
  <si>
    <t>hidden neuron 6 --&gt; Delta T</t>
  </si>
  <si>
    <t>231</t>
  </si>
  <si>
    <t>hidden neuron 7 --&gt; Delta T</t>
  </si>
  <si>
    <t>232</t>
  </si>
  <si>
    <t>hidden neuron 8 --&gt; Delta T</t>
  </si>
  <si>
    <t>233</t>
  </si>
  <si>
    <t>hidden neuron 9 --&gt; Delta T</t>
  </si>
  <si>
    <t>234</t>
  </si>
  <si>
    <t>hidden neuron 10 --&gt; Delta T</t>
  </si>
  <si>
    <t>235</t>
  </si>
  <si>
    <t>hidden neuron 11 --&gt; Delta T</t>
  </si>
  <si>
    <t>236</t>
  </si>
  <si>
    <t>hidden neuron 12 --&gt; Delta T</t>
  </si>
  <si>
    <t>237</t>
  </si>
  <si>
    <t>hidden neuron 13 --&gt; Delta T</t>
  </si>
  <si>
    <t>238</t>
  </si>
  <si>
    <t>hidden neuron 14 --&gt; Delta T</t>
  </si>
  <si>
    <t>239</t>
  </si>
  <si>
    <t>hidden bias --&gt; Delta T</t>
  </si>
  <si>
    <t xml:space="preserve"> </t>
  </si>
  <si>
    <t>Summary of active networks (Spreadsheet23batery.sta)</t>
  </si>
  <si>
    <t>Index</t>
  </si>
  <si>
    <t>Net. name</t>
  </si>
  <si>
    <t>Training perf.</t>
  </si>
  <si>
    <t>Test perf.</t>
  </si>
  <si>
    <t>Validation perf.</t>
  </si>
  <si>
    <t>Training error</t>
  </si>
  <si>
    <t>Test error</t>
  </si>
  <si>
    <t>Validation error</t>
  </si>
  <si>
    <t>Training algorithm</t>
  </si>
  <si>
    <t>Error function</t>
  </si>
  <si>
    <t>Hidden activation</t>
  </si>
  <si>
    <t>Output activation</t>
  </si>
  <si>
    <t>MLP 15-14-1</t>
  </si>
  <si>
    <t>BFGS 52</t>
  </si>
  <si>
    <t>SOS</t>
  </si>
  <si>
    <t>Identity</t>
  </si>
  <si>
    <t>Exponential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</si>
</sst>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0"/>
    <numFmt numFmtId="167" formatCode="0.000000"/>
    <numFmt numFmtId="168" formatCode="0.0000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15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vertic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8" xfId="0" applyFont="1" applyBorder="1"/>
    <xf numFmtId="3" fontId="2" fillId="0" borderId="18" xfId="0" applyNumberFormat="1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18" xfId="0" applyNumberFormat="1" applyFont="1" applyBorder="1"/>
    <xf numFmtId="0" fontId="2" fillId="0" borderId="22" xfId="0" applyFont="1" applyBorder="1"/>
    <xf numFmtId="3" fontId="2" fillId="0" borderId="22" xfId="0" applyNumberFormat="1" applyFont="1" applyBorder="1"/>
    <xf numFmtId="164" fontId="2" fillId="0" borderId="22" xfId="0" applyNumberFormat="1" applyFont="1" applyBorder="1"/>
    <xf numFmtId="0" fontId="2" fillId="0" borderId="25" xfId="0" applyFont="1" applyBorder="1"/>
    <xf numFmtId="3" fontId="2" fillId="0" borderId="25" xfId="0" applyNumberFormat="1" applyFont="1" applyBorder="1"/>
    <xf numFmtId="164" fontId="2" fillId="0" borderId="25" xfId="0" applyNumberFormat="1" applyFont="1" applyBorder="1"/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19" xfId="0" applyFont="1" applyBorder="1"/>
    <xf numFmtId="3" fontId="2" fillId="0" borderId="19" xfId="0" applyNumberFormat="1" applyFont="1" applyBorder="1"/>
    <xf numFmtId="9" fontId="2" fillId="0" borderId="24" xfId="0" applyNumberFormat="1" applyFont="1" applyBorder="1" applyAlignment="1">
      <alignment horizontal="center"/>
    </xf>
    <xf numFmtId="9" fontId="2" fillId="0" borderId="28" xfId="0" applyNumberFormat="1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4" fontId="2" fillId="0" borderId="19" xfId="0" applyNumberFormat="1" applyFont="1" applyBorder="1"/>
    <xf numFmtId="0" fontId="2" fillId="2" borderId="19" xfId="0" applyFont="1" applyFill="1" applyBorder="1"/>
    <xf numFmtId="164" fontId="2" fillId="2" borderId="18" xfId="0" applyNumberFormat="1" applyFont="1" applyFill="1" applyBorder="1"/>
    <xf numFmtId="3" fontId="2" fillId="3" borderId="18" xfId="0" applyNumberFormat="1" applyFont="1" applyFill="1" applyBorder="1"/>
    <xf numFmtId="0" fontId="2" fillId="2" borderId="18" xfId="0" applyFont="1" applyFill="1" applyBorder="1"/>
    <xf numFmtId="164" fontId="2" fillId="2" borderId="22" xfId="0" applyNumberFormat="1" applyFont="1" applyFill="1" applyBorder="1"/>
    <xf numFmtId="3" fontId="2" fillId="3" borderId="22" xfId="0" applyNumberFormat="1" applyFont="1" applyFill="1" applyBorder="1"/>
    <xf numFmtId="0" fontId="2" fillId="2" borderId="22" xfId="0" applyFont="1" applyFill="1" applyBorder="1"/>
    <xf numFmtId="164" fontId="2" fillId="2" borderId="25" xfId="0" applyNumberFormat="1" applyFont="1" applyFill="1" applyBorder="1"/>
    <xf numFmtId="3" fontId="2" fillId="3" borderId="25" xfId="0" applyNumberFormat="1" applyFont="1" applyFill="1" applyBorder="1"/>
    <xf numFmtId="0" fontId="2" fillId="2" borderId="25" xfId="0" applyFont="1" applyFill="1" applyBorder="1"/>
    <xf numFmtId="165" fontId="2" fillId="0" borderId="19" xfId="0" applyNumberFormat="1" applyFont="1" applyBorder="1"/>
    <xf numFmtId="0" fontId="2" fillId="3" borderId="28" xfId="0" applyFont="1" applyFill="1" applyBorder="1" applyAlignment="1">
      <alignment horizontal="center"/>
    </xf>
    <xf numFmtId="3" fontId="2" fillId="3" borderId="19" xfId="0" applyNumberFormat="1" applyFont="1" applyFill="1" applyBorder="1"/>
    <xf numFmtId="9" fontId="2" fillId="3" borderId="24" xfId="0" applyNumberFormat="1" applyFont="1" applyFill="1" applyBorder="1" applyAlignment="1">
      <alignment horizontal="center"/>
    </xf>
    <xf numFmtId="9" fontId="2" fillId="2" borderId="28" xfId="0" applyNumberFormat="1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0" borderId="30" xfId="0" applyFont="1" applyBorder="1"/>
    <xf numFmtId="164" fontId="2" fillId="0" borderId="17" xfId="0" applyNumberFormat="1" applyFont="1" applyBorder="1" applyAlignment="1">
      <alignment horizontal="center"/>
    </xf>
    <xf numFmtId="0" fontId="2" fillId="0" borderId="31" xfId="0" applyFont="1" applyBorder="1"/>
    <xf numFmtId="164" fontId="2" fillId="0" borderId="19" xfId="0" applyNumberFormat="1" applyFont="1" applyBorder="1" applyAlignment="1">
      <alignment horizontal="center"/>
    </xf>
    <xf numFmtId="0" fontId="2" fillId="0" borderId="32" xfId="0" applyFont="1" applyBorder="1"/>
    <xf numFmtId="164" fontId="2" fillId="0" borderId="24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3" fontId="2" fillId="3" borderId="19" xfId="0" applyNumberFormat="1" applyFont="1" applyFill="1" applyBorder="1" applyAlignment="1">
      <alignment horizontal="center"/>
    </xf>
    <xf numFmtId="9" fontId="2" fillId="3" borderId="28" xfId="0" applyNumberFormat="1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/>
    </xf>
    <xf numFmtId="3" fontId="2" fillId="3" borderId="17" xfId="0" applyNumberFormat="1" applyFont="1" applyFill="1" applyBorder="1" applyAlignment="1">
      <alignment horizontal="center"/>
    </xf>
    <xf numFmtId="0" fontId="4" fillId="0" borderId="0" xfId="0" applyFont="1"/>
    <xf numFmtId="3" fontId="2" fillId="0" borderId="24" xfId="0" applyNumberFormat="1" applyFont="1" applyBorder="1" applyAlignment="1">
      <alignment horizontal="center"/>
    </xf>
    <xf numFmtId="3" fontId="2" fillId="3" borderId="24" xfId="0" applyNumberFormat="1" applyFont="1" applyFill="1" applyBorder="1" applyAlignment="1">
      <alignment horizontal="center"/>
    </xf>
    <xf numFmtId="3" fontId="2" fillId="0" borderId="0" xfId="0" applyNumberFormat="1" applyFont="1"/>
    <xf numFmtId="0" fontId="2" fillId="0" borderId="21" xfId="0" applyFont="1" applyBorder="1" applyAlignment="1">
      <alignment horizontal="center"/>
    </xf>
    <xf numFmtId="3" fontId="5" fillId="0" borderId="34" xfId="0" applyNumberFormat="1" applyFont="1" applyBorder="1"/>
    <xf numFmtId="3" fontId="2" fillId="0" borderId="0" xfId="0" applyNumberFormat="1" applyFont="1" applyAlignment="1">
      <alignment horizontal="center"/>
    </xf>
    <xf numFmtId="1" fontId="2" fillId="0" borderId="18" xfId="0" applyNumberFormat="1" applyFont="1" applyBorder="1"/>
    <xf numFmtId="1" fontId="2" fillId="0" borderId="22" xfId="0" applyNumberFormat="1" applyFont="1" applyBorder="1"/>
    <xf numFmtId="1" fontId="2" fillId="0" borderId="25" xfId="0" applyNumberFormat="1" applyFont="1" applyBorder="1"/>
    <xf numFmtId="1" fontId="2" fillId="0" borderId="19" xfId="0" applyNumberFormat="1" applyFont="1" applyBorder="1"/>
    <xf numFmtId="1" fontId="2" fillId="0" borderId="19" xfId="0" applyNumberFormat="1" applyFont="1" applyBorder="1" applyAlignment="1">
      <alignment horizontal="center"/>
    </xf>
    <xf numFmtId="0" fontId="3" fillId="0" borderId="0" xfId="0" applyFont="1"/>
    <xf numFmtId="0" fontId="7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0" xfId="0" applyFont="1"/>
    <xf numFmtId="0" fontId="7" fillId="0" borderId="10" xfId="0" applyFont="1" applyBorder="1" applyAlignment="1">
      <alignment vertical="center" wrapText="1"/>
    </xf>
    <xf numFmtId="164" fontId="0" fillId="0" borderId="0" xfId="0" applyNumberFormat="1"/>
    <xf numFmtId="0" fontId="2" fillId="4" borderId="18" xfId="0" applyFont="1" applyFill="1" applyBorder="1"/>
    <xf numFmtId="1" fontId="2" fillId="4" borderId="17" xfId="0" applyNumberFormat="1" applyFont="1" applyFill="1" applyBorder="1" applyAlignment="1">
      <alignment horizontal="center"/>
    </xf>
    <xf numFmtId="1" fontId="2" fillId="4" borderId="18" xfId="0" applyNumberFormat="1" applyFont="1" applyFill="1" applyBorder="1"/>
    <xf numFmtId="0" fontId="0" fillId="4" borderId="0" xfId="0" applyFill="1"/>
    <xf numFmtId="0" fontId="2" fillId="4" borderId="22" xfId="0" applyFont="1" applyFill="1" applyBorder="1"/>
    <xf numFmtId="1" fontId="2" fillId="4" borderId="19" xfId="0" applyNumberFormat="1" applyFont="1" applyFill="1" applyBorder="1" applyAlignment="1">
      <alignment horizontal="center"/>
    </xf>
    <xf numFmtId="1" fontId="2" fillId="4" borderId="22" xfId="0" applyNumberFormat="1" applyFont="1" applyFill="1" applyBorder="1"/>
    <xf numFmtId="0" fontId="2" fillId="4" borderId="25" xfId="0" applyFont="1" applyFill="1" applyBorder="1"/>
    <xf numFmtId="1" fontId="2" fillId="4" borderId="24" xfId="0" applyNumberFormat="1" applyFont="1" applyFill="1" applyBorder="1" applyAlignment="1">
      <alignment horizontal="center"/>
    </xf>
    <xf numFmtId="1" fontId="2" fillId="4" borderId="25" xfId="0" applyNumberFormat="1" applyFont="1" applyFill="1" applyBorder="1"/>
    <xf numFmtId="0" fontId="1" fillId="0" borderId="35" xfId="0" applyFont="1" applyBorder="1"/>
    <xf numFmtId="0" fontId="0" fillId="0" borderId="35" xfId="0" applyBorder="1"/>
    <xf numFmtId="0" fontId="6" fillId="0" borderId="35" xfId="0" applyFont="1" applyBorder="1" applyAlignment="1">
      <alignment horizontal="center" vertical="center"/>
    </xf>
    <xf numFmtId="1" fontId="10" fillId="0" borderId="0" xfId="1" applyNumberFormat="1" applyFont="1" applyAlignment="1">
      <alignment horizontal="right" vertical="center"/>
    </xf>
    <xf numFmtId="166" fontId="10" fillId="0" borderId="0" xfId="1" applyNumberFormat="1" applyFont="1" applyAlignment="1">
      <alignment horizontal="right" vertical="center"/>
    </xf>
    <xf numFmtId="167" fontId="10" fillId="0" borderId="0" xfId="1" applyNumberFormat="1" applyFont="1" applyAlignment="1">
      <alignment horizontal="right" vertical="center"/>
    </xf>
    <xf numFmtId="168" fontId="10" fillId="0" borderId="0" xfId="1" applyNumberFormat="1" applyFont="1" applyAlignment="1">
      <alignment horizontal="right" vertical="center"/>
    </xf>
    <xf numFmtId="0" fontId="10" fillId="0" borderId="0" xfId="1" applyFont="1" applyAlignment="1">
      <alignment horizontal="center" vertical="top" wrapText="1"/>
    </xf>
    <xf numFmtId="0" fontId="10" fillId="0" borderId="0" xfId="1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3" fillId="0" borderId="21" xfId="0" applyFont="1" applyBorder="1"/>
    <xf numFmtId="0" fontId="3" fillId="0" borderId="23" xfId="0" applyFont="1" applyBorder="1"/>
    <xf numFmtId="0" fontId="2" fillId="0" borderId="17" xfId="0" applyFont="1" applyBorder="1" applyAlignment="1">
      <alignment horizontal="center"/>
    </xf>
    <xf numFmtId="0" fontId="3" fillId="0" borderId="19" xfId="0" applyFont="1" applyBorder="1"/>
    <xf numFmtId="0" fontId="3" fillId="0" borderId="24" xfId="0" applyFont="1" applyBorder="1"/>
    <xf numFmtId="0" fontId="2" fillId="0" borderId="19" xfId="0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20" xfId="0" applyFont="1" applyBorder="1"/>
    <xf numFmtId="0" fontId="3" fillId="0" borderId="26" xfId="0" applyFont="1" applyBorder="1"/>
    <xf numFmtId="9" fontId="2" fillId="0" borderId="1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2" fillId="0" borderId="10" xfId="0" applyFont="1" applyBorder="1" applyAlignment="1">
      <alignment horizontal="center" vertical="center" wrapText="1"/>
    </xf>
    <xf numFmtId="0" fontId="3" fillId="0" borderId="14" xfId="0" applyFont="1" applyBorder="1"/>
    <xf numFmtId="0" fontId="2" fillId="0" borderId="0" xfId="0" applyFont="1" applyAlignment="1">
      <alignment horizontal="center" vertical="center" wrapText="1"/>
    </xf>
    <xf numFmtId="0" fontId="2" fillId="2" borderId="17" xfId="0" applyFont="1" applyFill="1" applyBorder="1" applyAlignment="1">
      <alignment horizontal="center"/>
    </xf>
    <xf numFmtId="9" fontId="2" fillId="2" borderId="19" xfId="0" applyNumberFormat="1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9" fontId="2" fillId="3" borderId="17" xfId="0" applyNumberFormat="1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3" fillId="4" borderId="20" xfId="0" applyFont="1" applyFill="1" applyBorder="1"/>
    <xf numFmtId="0" fontId="3" fillId="4" borderId="26" xfId="0" applyFont="1" applyFill="1" applyBorder="1"/>
    <xf numFmtId="0" fontId="2" fillId="4" borderId="17" xfId="0" applyFont="1" applyFill="1" applyBorder="1" applyAlignment="1">
      <alignment horizontal="center"/>
    </xf>
    <xf numFmtId="0" fontId="3" fillId="4" borderId="19" xfId="0" applyFont="1" applyFill="1" applyBorder="1"/>
    <xf numFmtId="0" fontId="3" fillId="4" borderId="24" xfId="0" applyFont="1" applyFill="1" applyBorder="1"/>
    <xf numFmtId="9" fontId="2" fillId="4" borderId="19" xfId="0" applyNumberFormat="1" applyFont="1" applyFill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9" fontId="2" fillId="2" borderId="17" xfId="0" applyNumberFormat="1" applyFont="1" applyFill="1" applyBorder="1" applyAlignment="1">
      <alignment horizontal="center"/>
    </xf>
    <xf numFmtId="9" fontId="2" fillId="3" borderId="19" xfId="0" applyNumberFormat="1" applyFont="1" applyFill="1" applyBorder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4" borderId="17" xfId="0" applyNumberFormat="1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3" fillId="4" borderId="21" xfId="0" applyFont="1" applyFill="1" applyBorder="1"/>
    <xf numFmtId="0" fontId="3" fillId="4" borderId="23" xfId="0" applyFont="1" applyFill="1" applyBorder="1"/>
    <xf numFmtId="0" fontId="2" fillId="2" borderId="20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0" fillId="0" borderId="0" xfId="1" applyFont="1" applyAlignment="1">
      <alignment horizontal="left"/>
    </xf>
    <xf numFmtId="0" fontId="9" fillId="0" borderId="0" xfId="1"/>
    <xf numFmtId="0" fontId="10" fillId="0" borderId="0" xfId="1" applyFont="1" applyAlignment="1">
      <alignment horizontal="left" vertical="top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39</xdr:row>
          <xdr:rowOff>0</xdr:rowOff>
        </xdr:from>
        <xdr:to>
          <xdr:col>17</xdr:col>
          <xdr:colOff>220980</xdr:colOff>
          <xdr:row>74</xdr:row>
          <xdr:rowOff>129540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4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89</xdr:row>
          <xdr:rowOff>0</xdr:rowOff>
        </xdr:from>
        <xdr:to>
          <xdr:col>23</xdr:col>
          <xdr:colOff>220980</xdr:colOff>
          <xdr:row>124</xdr:row>
          <xdr:rowOff>129540</xdr:rowOff>
        </xdr:to>
        <xdr:sp macro="" textlink="">
          <xdr:nvSpPr>
            <xdr:cNvPr id="5122" name="Object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4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130</xdr:row>
          <xdr:rowOff>0</xdr:rowOff>
        </xdr:from>
        <xdr:to>
          <xdr:col>25</xdr:col>
          <xdr:colOff>220980</xdr:colOff>
          <xdr:row>165</xdr:row>
          <xdr:rowOff>129540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4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171</xdr:row>
          <xdr:rowOff>0</xdr:rowOff>
        </xdr:from>
        <xdr:to>
          <xdr:col>27</xdr:col>
          <xdr:colOff>220980</xdr:colOff>
          <xdr:row>206</xdr:row>
          <xdr:rowOff>129540</xdr:rowOff>
        </xdr:to>
        <xdr:sp macro="" textlink="">
          <xdr:nvSpPr>
            <xdr:cNvPr id="5124" name="Object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3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10" Type="http://schemas.openxmlformats.org/officeDocument/2006/relationships/image" Target="../media/image4.emf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03"/>
  <sheetViews>
    <sheetView topLeftCell="BC3" zoomScale="80" zoomScaleNormal="80" workbookViewId="0">
      <selection activeCell="CG35" sqref="CG35:CG47"/>
    </sheetView>
  </sheetViews>
  <sheetFormatPr defaultColWidth="14.44140625" defaultRowHeight="15" customHeight="1" x14ac:dyDescent="0.3"/>
  <cols>
    <col min="1" max="1" width="12.33203125" customWidth="1"/>
    <col min="2" max="2" width="35.109375" customWidth="1"/>
    <col min="3" max="3" width="14.33203125" customWidth="1"/>
    <col min="4" max="5" width="8.6640625" customWidth="1"/>
    <col min="6" max="6" width="19.88671875" customWidth="1"/>
    <col min="7" max="7" width="28.44140625" customWidth="1"/>
    <col min="8" max="8" width="19.88671875" customWidth="1"/>
    <col min="9" max="9" width="13.5546875" customWidth="1"/>
    <col min="10" max="10" width="8.88671875" customWidth="1"/>
    <col min="11" max="13" width="8.6640625" customWidth="1"/>
    <col min="14" max="14" width="17.44140625" customWidth="1"/>
    <col min="15" max="19" width="8.6640625" customWidth="1"/>
    <col min="20" max="20" width="14.88671875" customWidth="1"/>
    <col min="21" max="21" width="8.6640625" customWidth="1"/>
    <col min="22" max="22" width="12.33203125" customWidth="1"/>
    <col min="23" max="23" width="28.33203125" customWidth="1"/>
    <col min="24" max="24" width="30.6640625" customWidth="1"/>
    <col min="25" max="35" width="8.6640625" customWidth="1"/>
    <col min="36" max="36" width="18.6640625" customWidth="1"/>
    <col min="37" max="44" width="8.6640625" customWidth="1"/>
    <col min="45" max="45" width="12.33203125" customWidth="1"/>
    <col min="46" max="46" width="30.6640625" customWidth="1"/>
    <col min="47" max="49" width="8.6640625" customWidth="1"/>
    <col min="50" max="50" width="15.6640625" customWidth="1"/>
    <col min="51" max="57" width="8.6640625" customWidth="1"/>
    <col min="58" max="58" width="14.44140625" customWidth="1"/>
    <col min="59" max="65" width="8.6640625" customWidth="1"/>
    <col min="66" max="66" width="12.33203125" customWidth="1"/>
    <col min="67" max="67" width="30.6640625" customWidth="1"/>
    <col min="68" max="70" width="8.6640625" customWidth="1"/>
    <col min="71" max="71" width="14.6640625" customWidth="1"/>
    <col min="72" max="73" width="8.6640625" customWidth="1"/>
    <col min="74" max="74" width="15.44140625" customWidth="1"/>
    <col min="75" max="75" width="13.33203125" customWidth="1"/>
    <col min="76" max="78" width="8.6640625" customWidth="1"/>
    <col min="79" max="79" width="15.109375" customWidth="1"/>
    <col min="80" max="81" width="8.6640625" customWidth="1"/>
    <col min="82" max="82" width="18.6640625" customWidth="1"/>
    <col min="83" max="86" width="8.6640625" customWidth="1"/>
    <col min="87" max="87" width="12.33203125" customWidth="1"/>
    <col min="88" max="88" width="30.6640625" customWidth="1"/>
    <col min="89" max="91" width="8.6640625" customWidth="1"/>
    <col min="92" max="92" width="19" customWidth="1"/>
    <col min="93" max="93" width="27.44140625" customWidth="1"/>
    <col min="94" max="94" width="8.6640625" customWidth="1"/>
    <col min="95" max="95" width="16.6640625" customWidth="1"/>
    <col min="96" max="99" width="8.6640625" customWidth="1"/>
    <col min="100" max="100" width="19" customWidth="1"/>
    <col min="101" max="101" width="20.33203125" customWidth="1"/>
    <col min="102" max="102" width="8.6640625" customWidth="1"/>
    <col min="103" max="103" width="16.6640625" customWidth="1"/>
    <col min="104" max="106" width="8.6640625" customWidth="1"/>
    <col min="107" max="107" width="12.33203125" customWidth="1"/>
    <col min="108" max="108" width="30.6640625" customWidth="1"/>
    <col min="109" max="111" width="8.6640625" customWidth="1"/>
    <col min="112" max="112" width="18.109375" customWidth="1"/>
    <col min="113" max="113" width="12.6640625" customWidth="1"/>
    <col min="114" max="114" width="8.6640625" customWidth="1"/>
    <col min="115" max="115" width="17.109375" customWidth="1"/>
    <col min="116" max="119" width="8.6640625" customWidth="1"/>
    <col min="120" max="120" width="13.88671875" customWidth="1"/>
    <col min="121" max="121" width="16.109375" customWidth="1"/>
    <col min="122" max="122" width="8.6640625" customWidth="1"/>
    <col min="123" max="123" width="13.5546875" customWidth="1"/>
    <col min="124" max="124" width="8.6640625" customWidth="1"/>
  </cols>
  <sheetData>
    <row r="1" spans="1:126" ht="14.25" customHeight="1" x14ac:dyDescent="0.3">
      <c r="A1" s="1" t="s">
        <v>0</v>
      </c>
      <c r="B1" s="2" t="s">
        <v>1</v>
      </c>
      <c r="V1" s="3"/>
      <c r="W1" s="1" t="s">
        <v>0</v>
      </c>
      <c r="X1" s="2" t="s">
        <v>1</v>
      </c>
      <c r="AS1" s="1" t="s">
        <v>0</v>
      </c>
      <c r="AT1" s="2" t="s">
        <v>1</v>
      </c>
      <c r="BN1" s="1" t="s">
        <v>0</v>
      </c>
      <c r="BO1" s="2" t="s">
        <v>1</v>
      </c>
      <c r="CI1" s="1" t="s">
        <v>0</v>
      </c>
      <c r="CJ1" s="2" t="s">
        <v>1</v>
      </c>
      <c r="DC1" s="1" t="s">
        <v>0</v>
      </c>
      <c r="DD1" s="2" t="s">
        <v>1</v>
      </c>
    </row>
    <row r="2" spans="1:126" ht="14.25" customHeight="1" x14ac:dyDescent="0.3">
      <c r="A2" s="4" t="s">
        <v>2</v>
      </c>
      <c r="B2" s="5" t="s">
        <v>3</v>
      </c>
      <c r="K2" s="6"/>
      <c r="L2" s="6"/>
      <c r="V2" s="3"/>
      <c r="W2" s="4" t="s">
        <v>2</v>
      </c>
      <c r="X2" s="5" t="s">
        <v>3</v>
      </c>
      <c r="AG2" s="6"/>
      <c r="AH2" s="6"/>
      <c r="AS2" s="4" t="s">
        <v>2</v>
      </c>
      <c r="AT2" s="5" t="s">
        <v>3</v>
      </c>
      <c r="BC2" s="6"/>
      <c r="BD2" s="6"/>
      <c r="BN2" s="4" t="s">
        <v>2</v>
      </c>
      <c r="BO2" s="5" t="s">
        <v>3</v>
      </c>
      <c r="BX2" s="6"/>
      <c r="BY2" s="6"/>
      <c r="CI2" s="4" t="s">
        <v>2</v>
      </c>
      <c r="CJ2" s="5" t="s">
        <v>3</v>
      </c>
      <c r="CS2" s="6"/>
      <c r="CT2" s="6"/>
      <c r="DC2" s="4" t="s">
        <v>2</v>
      </c>
      <c r="DD2" s="5" t="s">
        <v>3</v>
      </c>
      <c r="DM2" s="6"/>
      <c r="DN2" s="6"/>
    </row>
    <row r="3" spans="1:126" ht="67.5" customHeight="1" x14ac:dyDescent="0.3">
      <c r="A3" s="4" t="s">
        <v>4</v>
      </c>
      <c r="B3" s="5" t="s">
        <v>5</v>
      </c>
      <c r="V3" s="3"/>
      <c r="W3" s="4" t="s">
        <v>4</v>
      </c>
      <c r="X3" s="5" t="s">
        <v>5</v>
      </c>
      <c r="AS3" s="4" t="s">
        <v>4</v>
      </c>
      <c r="AT3" s="5" t="s">
        <v>5</v>
      </c>
      <c r="BN3" s="4" t="s">
        <v>4</v>
      </c>
      <c r="BO3" s="5" t="s">
        <v>5</v>
      </c>
      <c r="CI3" s="4" t="s">
        <v>4</v>
      </c>
      <c r="CJ3" s="5" t="s">
        <v>5</v>
      </c>
      <c r="DC3" s="4" t="s">
        <v>4</v>
      </c>
      <c r="DD3" s="5" t="s">
        <v>5</v>
      </c>
    </row>
    <row r="4" spans="1:126" ht="14.25" customHeight="1" x14ac:dyDescent="0.3">
      <c r="A4" s="7" t="s">
        <v>6</v>
      </c>
      <c r="B4" s="8" t="s">
        <v>7</v>
      </c>
      <c r="C4" s="118" t="s">
        <v>8</v>
      </c>
      <c r="D4" s="119"/>
      <c r="E4" s="119"/>
      <c r="F4" s="119"/>
      <c r="G4" s="119"/>
      <c r="H4" s="119"/>
      <c r="I4" s="119"/>
      <c r="J4" s="120"/>
      <c r="K4" s="118" t="s">
        <v>9</v>
      </c>
      <c r="L4" s="119"/>
      <c r="M4" s="119"/>
      <c r="N4" s="119"/>
      <c r="O4" s="119"/>
      <c r="P4" s="119"/>
      <c r="Q4" s="119"/>
      <c r="R4" s="120"/>
      <c r="V4" s="3"/>
      <c r="W4" s="7" t="s">
        <v>6</v>
      </c>
      <c r="X4" s="8" t="s">
        <v>10</v>
      </c>
      <c r="Y4" s="118" t="s">
        <v>8</v>
      </c>
      <c r="Z4" s="119"/>
      <c r="AA4" s="119"/>
      <c r="AB4" s="119"/>
      <c r="AC4" s="119"/>
      <c r="AD4" s="119"/>
      <c r="AE4" s="119"/>
      <c r="AF4" s="120"/>
      <c r="AG4" s="118" t="s">
        <v>9</v>
      </c>
      <c r="AH4" s="119"/>
      <c r="AI4" s="119"/>
      <c r="AJ4" s="119"/>
      <c r="AK4" s="119"/>
      <c r="AL4" s="119"/>
      <c r="AM4" s="119"/>
      <c r="AN4" s="120"/>
      <c r="AO4" s="74"/>
      <c r="AP4" s="74"/>
      <c r="AQ4" s="74"/>
      <c r="AS4" s="7" t="s">
        <v>6</v>
      </c>
      <c r="AT4" s="8" t="s">
        <v>11</v>
      </c>
      <c r="AU4" s="118" t="s">
        <v>8</v>
      </c>
      <c r="AV4" s="119"/>
      <c r="AW4" s="119"/>
      <c r="AX4" s="119"/>
      <c r="AY4" s="119"/>
      <c r="AZ4" s="119"/>
      <c r="BA4" s="119"/>
      <c r="BB4" s="120"/>
      <c r="BC4" s="118" t="s">
        <v>9</v>
      </c>
      <c r="BD4" s="119"/>
      <c r="BE4" s="119"/>
      <c r="BF4" s="119"/>
      <c r="BG4" s="119"/>
      <c r="BH4" s="119"/>
      <c r="BI4" s="119"/>
      <c r="BJ4" s="120"/>
      <c r="BK4" s="74"/>
      <c r="BL4" s="74"/>
      <c r="BN4" s="7" t="s">
        <v>6</v>
      </c>
      <c r="BO4" s="8" t="s">
        <v>12</v>
      </c>
      <c r="BP4" s="118" t="s">
        <v>8</v>
      </c>
      <c r="BQ4" s="119"/>
      <c r="BR4" s="119"/>
      <c r="BS4" s="119"/>
      <c r="BT4" s="119"/>
      <c r="BU4" s="119"/>
      <c r="BV4" s="119"/>
      <c r="BW4" s="120"/>
      <c r="BX4" s="118" t="s">
        <v>9</v>
      </c>
      <c r="BY4" s="119"/>
      <c r="BZ4" s="119"/>
      <c r="CA4" s="119"/>
      <c r="CB4" s="119"/>
      <c r="CC4" s="119"/>
      <c r="CD4" s="119"/>
      <c r="CE4" s="120"/>
      <c r="CF4" s="74"/>
      <c r="CG4" s="74"/>
      <c r="CI4" s="7" t="s">
        <v>6</v>
      </c>
      <c r="CJ4" s="8" t="s">
        <v>13</v>
      </c>
      <c r="CK4" s="118" t="s">
        <v>8</v>
      </c>
      <c r="CL4" s="119"/>
      <c r="CM4" s="119"/>
      <c r="CN4" s="119"/>
      <c r="CO4" s="119"/>
      <c r="CP4" s="119"/>
      <c r="CQ4" s="119"/>
      <c r="CR4" s="120"/>
      <c r="CS4" s="118" t="s">
        <v>9</v>
      </c>
      <c r="CT4" s="119"/>
      <c r="CU4" s="119"/>
      <c r="CV4" s="119"/>
      <c r="CW4" s="119"/>
      <c r="CX4" s="119"/>
      <c r="CY4" s="119"/>
      <c r="CZ4" s="120"/>
      <c r="DA4" s="74"/>
      <c r="DC4" s="7" t="s">
        <v>6</v>
      </c>
      <c r="DD4" s="8" t="s">
        <v>14</v>
      </c>
      <c r="DE4" s="118" t="s">
        <v>8</v>
      </c>
      <c r="DF4" s="119"/>
      <c r="DG4" s="119"/>
      <c r="DH4" s="119"/>
      <c r="DI4" s="119"/>
      <c r="DJ4" s="119"/>
      <c r="DK4" s="119"/>
      <c r="DL4" s="120"/>
      <c r="DM4" s="118" t="s">
        <v>9</v>
      </c>
      <c r="DN4" s="119"/>
      <c r="DO4" s="119"/>
      <c r="DP4" s="119"/>
      <c r="DQ4" s="119"/>
      <c r="DR4" s="119"/>
      <c r="DS4" s="119"/>
      <c r="DT4" s="120"/>
    </row>
    <row r="5" spans="1:126" ht="14.25" customHeight="1" x14ac:dyDescent="0.3">
      <c r="A5" s="121" t="s">
        <v>15</v>
      </c>
      <c r="B5" s="123" t="s">
        <v>16</v>
      </c>
      <c r="C5" s="113" t="s">
        <v>17</v>
      </c>
      <c r="D5" s="114"/>
      <c r="E5" s="114"/>
      <c r="F5" s="115"/>
      <c r="G5" s="9" t="s">
        <v>18</v>
      </c>
      <c r="H5" s="113" t="s">
        <v>19</v>
      </c>
      <c r="I5" s="114"/>
      <c r="J5" s="115"/>
      <c r="K5" s="113" t="s">
        <v>17</v>
      </c>
      <c r="L5" s="114"/>
      <c r="M5" s="114"/>
      <c r="N5" s="115"/>
      <c r="O5" s="9" t="s">
        <v>18</v>
      </c>
      <c r="P5" s="113" t="s">
        <v>19</v>
      </c>
      <c r="Q5" s="114"/>
      <c r="R5" s="115"/>
      <c r="V5" s="123"/>
      <c r="W5" s="121" t="s">
        <v>15</v>
      </c>
      <c r="X5" s="123" t="s">
        <v>16</v>
      </c>
      <c r="Y5" s="113" t="s">
        <v>17</v>
      </c>
      <c r="Z5" s="114"/>
      <c r="AA5" s="114"/>
      <c r="AB5" s="115"/>
      <c r="AC5" s="9" t="s">
        <v>18</v>
      </c>
      <c r="AD5" s="113" t="s">
        <v>19</v>
      </c>
      <c r="AE5" s="114"/>
      <c r="AF5" s="115"/>
      <c r="AG5" s="113" t="s">
        <v>17</v>
      </c>
      <c r="AH5" s="114"/>
      <c r="AI5" s="114"/>
      <c r="AJ5" s="115"/>
      <c r="AK5" s="9" t="s">
        <v>18</v>
      </c>
      <c r="AL5" s="113" t="s">
        <v>19</v>
      </c>
      <c r="AM5" s="114"/>
      <c r="AN5" s="115"/>
      <c r="AO5" s="74"/>
      <c r="AP5" s="74"/>
      <c r="AQ5" s="74"/>
      <c r="AS5" s="121" t="s">
        <v>15</v>
      </c>
      <c r="AT5" s="123" t="s">
        <v>16</v>
      </c>
      <c r="AU5" s="113" t="s">
        <v>17</v>
      </c>
      <c r="AV5" s="114"/>
      <c r="AW5" s="114"/>
      <c r="AX5" s="115"/>
      <c r="AY5" s="9" t="s">
        <v>18</v>
      </c>
      <c r="AZ5" s="113" t="s">
        <v>19</v>
      </c>
      <c r="BA5" s="114"/>
      <c r="BB5" s="115"/>
      <c r="BC5" s="113" t="s">
        <v>17</v>
      </c>
      <c r="BD5" s="114"/>
      <c r="BE5" s="114"/>
      <c r="BF5" s="115"/>
      <c r="BG5" s="9" t="s">
        <v>18</v>
      </c>
      <c r="BH5" s="113" t="s">
        <v>19</v>
      </c>
      <c r="BI5" s="114"/>
      <c r="BJ5" s="115"/>
      <c r="BK5" s="74"/>
      <c r="BL5" s="74"/>
      <c r="BN5" s="121" t="s">
        <v>15</v>
      </c>
      <c r="BO5" s="123" t="s">
        <v>16</v>
      </c>
      <c r="BP5" s="113" t="s">
        <v>17</v>
      </c>
      <c r="BQ5" s="114"/>
      <c r="BR5" s="114"/>
      <c r="BS5" s="115"/>
      <c r="BT5" s="9" t="s">
        <v>18</v>
      </c>
      <c r="BU5" s="113" t="s">
        <v>19</v>
      </c>
      <c r="BV5" s="114"/>
      <c r="BW5" s="115"/>
      <c r="BX5" s="113" t="s">
        <v>17</v>
      </c>
      <c r="BY5" s="114"/>
      <c r="BZ5" s="114"/>
      <c r="CA5" s="115"/>
      <c r="CB5" s="9" t="s">
        <v>18</v>
      </c>
      <c r="CC5" s="113" t="s">
        <v>19</v>
      </c>
      <c r="CD5" s="114"/>
      <c r="CE5" s="115"/>
      <c r="CF5" s="74"/>
      <c r="CG5" s="74"/>
      <c r="CI5" s="121" t="s">
        <v>15</v>
      </c>
      <c r="CJ5" s="123" t="s">
        <v>16</v>
      </c>
      <c r="CK5" s="113" t="s">
        <v>17</v>
      </c>
      <c r="CL5" s="114"/>
      <c r="CM5" s="114"/>
      <c r="CN5" s="115"/>
      <c r="CO5" s="9" t="s">
        <v>18</v>
      </c>
      <c r="CP5" s="113" t="s">
        <v>19</v>
      </c>
      <c r="CQ5" s="114"/>
      <c r="CR5" s="115"/>
      <c r="CS5" s="113" t="s">
        <v>17</v>
      </c>
      <c r="CT5" s="114"/>
      <c r="CU5" s="114"/>
      <c r="CV5" s="115"/>
      <c r="CW5" s="9" t="s">
        <v>18</v>
      </c>
      <c r="CX5" s="113" t="s">
        <v>19</v>
      </c>
      <c r="CY5" s="114"/>
      <c r="CZ5" s="115"/>
      <c r="DA5" s="74"/>
      <c r="DC5" s="121" t="s">
        <v>15</v>
      </c>
      <c r="DD5" s="123" t="s">
        <v>16</v>
      </c>
      <c r="DE5" s="113" t="s">
        <v>17</v>
      </c>
      <c r="DF5" s="114"/>
      <c r="DG5" s="114"/>
      <c r="DH5" s="115"/>
      <c r="DI5" s="9" t="s">
        <v>18</v>
      </c>
      <c r="DJ5" s="113" t="s">
        <v>19</v>
      </c>
      <c r="DK5" s="114"/>
      <c r="DL5" s="115"/>
      <c r="DM5" s="113" t="s">
        <v>17</v>
      </c>
      <c r="DN5" s="114"/>
      <c r="DO5" s="114"/>
      <c r="DP5" s="115"/>
      <c r="DQ5" s="9" t="s">
        <v>18</v>
      </c>
      <c r="DR5" s="113" t="s">
        <v>19</v>
      </c>
      <c r="DS5" s="114"/>
      <c r="DT5" s="115"/>
    </row>
    <row r="6" spans="1:126" ht="14.25" customHeight="1" x14ac:dyDescent="0.3">
      <c r="A6" s="122"/>
      <c r="B6" s="114"/>
      <c r="C6" s="9" t="s">
        <v>20</v>
      </c>
      <c r="D6" s="10" t="s">
        <v>21</v>
      </c>
      <c r="E6" s="10" t="s">
        <v>22</v>
      </c>
      <c r="F6" s="10" t="s">
        <v>23</v>
      </c>
      <c r="G6" s="10" t="s">
        <v>24</v>
      </c>
      <c r="H6" s="11" t="s">
        <v>25</v>
      </c>
      <c r="I6" s="9" t="s">
        <v>26</v>
      </c>
      <c r="J6" s="10" t="s">
        <v>27</v>
      </c>
      <c r="K6" s="9" t="s">
        <v>20</v>
      </c>
      <c r="L6" s="10" t="s">
        <v>21</v>
      </c>
      <c r="M6" s="10" t="s">
        <v>22</v>
      </c>
      <c r="N6" s="10" t="s">
        <v>23</v>
      </c>
      <c r="O6" s="10" t="s">
        <v>21</v>
      </c>
      <c r="P6" s="11" t="s">
        <v>25</v>
      </c>
      <c r="Q6" s="9" t="s">
        <v>26</v>
      </c>
      <c r="R6" s="10" t="s">
        <v>27</v>
      </c>
      <c r="S6" s="11" t="s">
        <v>101</v>
      </c>
      <c r="T6" s="6" t="s">
        <v>102</v>
      </c>
      <c r="U6" s="6"/>
      <c r="V6" s="117"/>
      <c r="W6" s="122"/>
      <c r="X6" s="114"/>
      <c r="Y6" s="9" t="s">
        <v>20</v>
      </c>
      <c r="Z6" s="10" t="s">
        <v>21</v>
      </c>
      <c r="AA6" s="10" t="s">
        <v>22</v>
      </c>
      <c r="AB6" s="10" t="s">
        <v>23</v>
      </c>
      <c r="AC6" s="10" t="s">
        <v>24</v>
      </c>
      <c r="AD6" s="11" t="s">
        <v>25</v>
      </c>
      <c r="AE6" s="9" t="s">
        <v>26</v>
      </c>
      <c r="AF6" s="10" t="s">
        <v>27</v>
      </c>
      <c r="AG6" s="9" t="s">
        <v>20</v>
      </c>
      <c r="AH6" s="10" t="s">
        <v>21</v>
      </c>
      <c r="AI6" s="10" t="s">
        <v>22</v>
      </c>
      <c r="AJ6" s="10" t="s">
        <v>23</v>
      </c>
      <c r="AK6" s="10" t="s">
        <v>21</v>
      </c>
      <c r="AL6" s="11" t="s">
        <v>25</v>
      </c>
      <c r="AM6" s="9" t="s">
        <v>26</v>
      </c>
      <c r="AN6" s="10" t="s">
        <v>27</v>
      </c>
      <c r="AO6" s="75" t="s">
        <v>101</v>
      </c>
      <c r="AP6" s="75" t="s">
        <v>103</v>
      </c>
      <c r="AQ6" s="6"/>
      <c r="AS6" s="122"/>
      <c r="AT6" s="114"/>
      <c r="AU6" s="9" t="s">
        <v>20</v>
      </c>
      <c r="AV6" s="10" t="s">
        <v>21</v>
      </c>
      <c r="AW6" s="10" t="s">
        <v>22</v>
      </c>
      <c r="AX6" s="10" t="s">
        <v>23</v>
      </c>
      <c r="AY6" s="10" t="s">
        <v>24</v>
      </c>
      <c r="AZ6" s="11" t="s">
        <v>25</v>
      </c>
      <c r="BA6" s="9" t="s">
        <v>26</v>
      </c>
      <c r="BB6" s="10" t="s">
        <v>27</v>
      </c>
      <c r="BC6" s="9" t="s">
        <v>20</v>
      </c>
      <c r="BD6" s="10" t="s">
        <v>21</v>
      </c>
      <c r="BE6" s="10" t="s">
        <v>22</v>
      </c>
      <c r="BF6" s="10" t="s">
        <v>23</v>
      </c>
      <c r="BG6" s="10" t="s">
        <v>21</v>
      </c>
      <c r="BH6" s="11" t="s">
        <v>25</v>
      </c>
      <c r="BI6" s="9" t="s">
        <v>26</v>
      </c>
      <c r="BJ6" s="10" t="s">
        <v>27</v>
      </c>
      <c r="BK6" s="75" t="s">
        <v>101</v>
      </c>
      <c r="BL6" s="75" t="s">
        <v>103</v>
      </c>
      <c r="BN6" s="122"/>
      <c r="BO6" s="114"/>
      <c r="BP6" s="9" t="s">
        <v>20</v>
      </c>
      <c r="BQ6" s="10" t="s">
        <v>21</v>
      </c>
      <c r="BR6" s="10" t="s">
        <v>22</v>
      </c>
      <c r="BS6" s="10" t="s">
        <v>23</v>
      </c>
      <c r="BT6" s="10" t="s">
        <v>24</v>
      </c>
      <c r="BU6" s="11" t="s">
        <v>25</v>
      </c>
      <c r="BV6" s="9" t="s">
        <v>26</v>
      </c>
      <c r="BW6" s="10" t="s">
        <v>27</v>
      </c>
      <c r="BX6" s="9" t="s">
        <v>20</v>
      </c>
      <c r="BY6" s="10" t="s">
        <v>21</v>
      </c>
      <c r="BZ6" s="10" t="s">
        <v>22</v>
      </c>
      <c r="CA6" s="10" t="s">
        <v>23</v>
      </c>
      <c r="CB6" s="10" t="s">
        <v>21</v>
      </c>
      <c r="CC6" s="11" t="s">
        <v>25</v>
      </c>
      <c r="CD6" s="9" t="s">
        <v>26</v>
      </c>
      <c r="CE6" s="10" t="s">
        <v>27</v>
      </c>
      <c r="CF6" s="75" t="s">
        <v>101</v>
      </c>
      <c r="CG6" s="75" t="s">
        <v>103</v>
      </c>
      <c r="CI6" s="122"/>
      <c r="CJ6" s="114"/>
      <c r="CK6" s="9" t="s">
        <v>20</v>
      </c>
      <c r="CL6" s="10" t="s">
        <v>21</v>
      </c>
      <c r="CM6" s="10" t="s">
        <v>22</v>
      </c>
      <c r="CN6" s="10" t="s">
        <v>23</v>
      </c>
      <c r="CO6" s="10" t="s">
        <v>24</v>
      </c>
      <c r="CP6" s="11" t="s">
        <v>25</v>
      </c>
      <c r="CQ6" s="9" t="s">
        <v>26</v>
      </c>
      <c r="CR6" s="10" t="s">
        <v>27</v>
      </c>
      <c r="CS6" s="9" t="s">
        <v>20</v>
      </c>
      <c r="CT6" s="10" t="s">
        <v>21</v>
      </c>
      <c r="CU6" s="10" t="s">
        <v>22</v>
      </c>
      <c r="CV6" s="10" t="s">
        <v>23</v>
      </c>
      <c r="CW6" s="10" t="s">
        <v>21</v>
      </c>
      <c r="CX6" s="11" t="s">
        <v>25</v>
      </c>
      <c r="CY6" s="9" t="s">
        <v>26</v>
      </c>
      <c r="CZ6" s="10" t="s">
        <v>27</v>
      </c>
      <c r="DA6" s="6"/>
      <c r="DC6" s="122"/>
      <c r="DD6" s="114"/>
      <c r="DE6" s="9" t="s">
        <v>20</v>
      </c>
      <c r="DF6" s="10" t="s">
        <v>21</v>
      </c>
      <c r="DG6" s="10" t="s">
        <v>22</v>
      </c>
      <c r="DH6" s="10" t="s">
        <v>23</v>
      </c>
      <c r="DI6" s="10" t="s">
        <v>24</v>
      </c>
      <c r="DJ6" s="11" t="s">
        <v>25</v>
      </c>
      <c r="DK6" s="9" t="s">
        <v>26</v>
      </c>
      <c r="DL6" s="10" t="s">
        <v>27</v>
      </c>
      <c r="DM6" s="9" t="s">
        <v>20</v>
      </c>
      <c r="DN6" s="10" t="s">
        <v>21</v>
      </c>
      <c r="DO6" s="10" t="s">
        <v>22</v>
      </c>
      <c r="DP6" s="10" t="s">
        <v>23</v>
      </c>
      <c r="DQ6" s="10" t="s">
        <v>21</v>
      </c>
      <c r="DR6" s="11" t="s">
        <v>25</v>
      </c>
      <c r="DS6" s="9" t="s">
        <v>26</v>
      </c>
      <c r="DT6" s="10" t="s">
        <v>27</v>
      </c>
      <c r="DU6" s="80" t="s">
        <v>101</v>
      </c>
      <c r="DV6" s="80" t="s">
        <v>103</v>
      </c>
    </row>
    <row r="7" spans="1:126" ht="14.25" customHeight="1" x14ac:dyDescent="0.3">
      <c r="A7" s="101">
        <v>1</v>
      </c>
      <c r="B7" s="104" t="s">
        <v>28</v>
      </c>
      <c r="C7" s="12" t="s">
        <v>29</v>
      </c>
      <c r="D7" s="104">
        <v>33.6</v>
      </c>
      <c r="E7" s="69">
        <v>3563</v>
      </c>
      <c r="F7" s="107">
        <v>28</v>
      </c>
      <c r="G7" s="104">
        <v>48</v>
      </c>
      <c r="H7" s="104">
        <v>32</v>
      </c>
      <c r="I7" s="108">
        <v>0.25</v>
      </c>
      <c r="J7" s="109" t="s">
        <v>30</v>
      </c>
      <c r="K7" s="12" t="s">
        <v>29</v>
      </c>
      <c r="L7" s="104">
        <v>34.4</v>
      </c>
      <c r="M7" s="69">
        <v>3562</v>
      </c>
      <c r="N7" s="112">
        <v>0.27</v>
      </c>
      <c r="O7" s="104">
        <v>52</v>
      </c>
      <c r="P7" s="104">
        <v>32</v>
      </c>
      <c r="Q7" s="108">
        <v>0.25</v>
      </c>
      <c r="R7" s="109" t="s">
        <v>31</v>
      </c>
      <c r="T7">
        <f>(E7-M7)/1000</f>
        <v>1E-3</v>
      </c>
      <c r="V7" s="116"/>
      <c r="W7" s="101">
        <v>1</v>
      </c>
      <c r="X7" s="104" t="s">
        <v>28</v>
      </c>
      <c r="Y7" s="12" t="s">
        <v>29</v>
      </c>
      <c r="Z7" s="104">
        <v>33.299999999999997</v>
      </c>
      <c r="AA7" s="17">
        <v>3.863</v>
      </c>
      <c r="AB7" s="107">
        <v>81</v>
      </c>
      <c r="AC7" s="104">
        <v>50</v>
      </c>
      <c r="AD7" s="104">
        <v>28</v>
      </c>
      <c r="AE7" s="108">
        <v>0.25</v>
      </c>
      <c r="AF7" s="109" t="s">
        <v>32</v>
      </c>
      <c r="AG7" s="12" t="s">
        <v>29</v>
      </c>
      <c r="AH7" s="104">
        <v>33.299999999999997</v>
      </c>
      <c r="AI7" s="17">
        <v>3.8479999999999999</v>
      </c>
      <c r="AJ7" s="112">
        <v>0.79</v>
      </c>
      <c r="AK7" s="104">
        <v>52</v>
      </c>
      <c r="AL7" s="104">
        <v>28</v>
      </c>
      <c r="AM7" s="108">
        <v>0.25</v>
      </c>
      <c r="AN7" s="109">
        <v>192</v>
      </c>
      <c r="AO7" s="16"/>
      <c r="AP7" s="76">
        <f>AA7-AI7</f>
        <v>1.5000000000000124E-2</v>
      </c>
      <c r="AQ7" s="16"/>
      <c r="AS7" s="101">
        <v>1</v>
      </c>
      <c r="AT7" s="104" t="s">
        <v>28</v>
      </c>
      <c r="AU7" s="12" t="s">
        <v>29</v>
      </c>
      <c r="AV7" s="104">
        <v>34.9</v>
      </c>
      <c r="AW7" s="17">
        <v>3.6459999999999999</v>
      </c>
      <c r="AX7" s="107">
        <v>61</v>
      </c>
      <c r="AY7" s="104">
        <v>52</v>
      </c>
      <c r="AZ7" s="104">
        <v>28</v>
      </c>
      <c r="BA7" s="108">
        <v>0.25</v>
      </c>
      <c r="BB7" s="109" t="s">
        <v>33</v>
      </c>
      <c r="BC7" s="12" t="s">
        <v>29</v>
      </c>
      <c r="BD7" s="104">
        <v>34.9</v>
      </c>
      <c r="BE7" s="17">
        <v>3.6269999999999998</v>
      </c>
      <c r="BF7" s="112">
        <v>0.57999999999999996</v>
      </c>
      <c r="BG7" s="104">
        <v>54</v>
      </c>
      <c r="BH7" s="104">
        <v>28</v>
      </c>
      <c r="BI7" s="108">
        <v>0.25</v>
      </c>
      <c r="BJ7" s="109">
        <v>178</v>
      </c>
      <c r="BK7" s="16"/>
      <c r="BL7" s="76">
        <f>AW7-BE7</f>
        <v>1.9000000000000128E-2</v>
      </c>
      <c r="BN7" s="101">
        <v>1</v>
      </c>
      <c r="BO7" s="104" t="s">
        <v>28</v>
      </c>
      <c r="BP7" s="12" t="s">
        <v>29</v>
      </c>
      <c r="BQ7" s="104">
        <v>37.799999999999997</v>
      </c>
      <c r="BR7" s="17">
        <v>3.4369999999999998</v>
      </c>
      <c r="BS7" s="107">
        <v>26</v>
      </c>
      <c r="BT7" s="104">
        <v>47</v>
      </c>
      <c r="BU7" s="104">
        <v>28</v>
      </c>
      <c r="BV7" s="108">
        <v>0.25</v>
      </c>
      <c r="BW7" s="109" t="s">
        <v>33</v>
      </c>
      <c r="BX7" s="12" t="s">
        <v>29</v>
      </c>
      <c r="BY7" s="104">
        <v>39.1</v>
      </c>
      <c r="BZ7" s="17">
        <v>3.387</v>
      </c>
      <c r="CA7" s="112">
        <v>0.18</v>
      </c>
      <c r="CB7" s="104">
        <v>53</v>
      </c>
      <c r="CC7" s="104">
        <v>29</v>
      </c>
      <c r="CD7" s="108">
        <v>0.25</v>
      </c>
      <c r="CE7" s="109">
        <v>180</v>
      </c>
      <c r="CF7" s="16"/>
      <c r="CG7" s="76">
        <f>BR7-BZ7</f>
        <v>4.9999999999999822E-2</v>
      </c>
      <c r="CI7" s="101">
        <v>1</v>
      </c>
      <c r="CJ7" s="104" t="s">
        <v>28</v>
      </c>
      <c r="CK7" s="12" t="s">
        <v>29</v>
      </c>
      <c r="CL7" s="104">
        <v>41</v>
      </c>
      <c r="CM7" s="17">
        <v>3.5630000000000002</v>
      </c>
      <c r="CN7" s="107">
        <v>58</v>
      </c>
      <c r="CO7" s="104">
        <v>59</v>
      </c>
      <c r="CP7" s="104">
        <v>28</v>
      </c>
      <c r="CQ7" s="108">
        <v>0.25</v>
      </c>
      <c r="CR7" s="109" t="s">
        <v>34</v>
      </c>
      <c r="CS7" s="12" t="s">
        <v>29</v>
      </c>
      <c r="CT7" s="104"/>
      <c r="CU7" s="13"/>
      <c r="CV7" s="112"/>
      <c r="CW7" s="104"/>
      <c r="CX7" s="104"/>
      <c r="CY7" s="108">
        <v>0.25</v>
      </c>
      <c r="CZ7" s="109"/>
      <c r="DA7" s="16"/>
      <c r="DC7" s="101">
        <v>1</v>
      </c>
      <c r="DD7" s="104" t="s">
        <v>28</v>
      </c>
      <c r="DE7" s="12" t="s">
        <v>29</v>
      </c>
      <c r="DF7" s="104">
        <v>35.799999999999997</v>
      </c>
      <c r="DG7" s="17">
        <v>3.714</v>
      </c>
      <c r="DH7" s="107">
        <v>54</v>
      </c>
      <c r="DI7" s="104">
        <v>43</v>
      </c>
      <c r="DJ7" s="104">
        <v>28</v>
      </c>
      <c r="DK7" s="108">
        <v>0.25</v>
      </c>
      <c r="DL7" s="109" t="s">
        <v>35</v>
      </c>
      <c r="DM7" s="12" t="s">
        <v>29</v>
      </c>
      <c r="DN7" s="104">
        <v>35.6</v>
      </c>
      <c r="DO7" s="17">
        <v>3.71</v>
      </c>
      <c r="DP7" s="112">
        <v>0.54</v>
      </c>
      <c r="DQ7" s="104">
        <v>47</v>
      </c>
      <c r="DR7" s="104">
        <v>29</v>
      </c>
      <c r="DS7" s="108">
        <v>0.25</v>
      </c>
      <c r="DT7" s="109" t="s">
        <v>36</v>
      </c>
      <c r="DV7" s="81">
        <f>DO7-DG7</f>
        <v>-4.0000000000000036E-3</v>
      </c>
    </row>
    <row r="8" spans="1:126" ht="14.25" customHeight="1" x14ac:dyDescent="0.3">
      <c r="A8" s="102"/>
      <c r="B8" s="105"/>
      <c r="C8" s="18" t="s">
        <v>37</v>
      </c>
      <c r="D8" s="105"/>
      <c r="E8" s="70">
        <v>3564</v>
      </c>
      <c r="F8" s="105"/>
      <c r="G8" s="105"/>
      <c r="H8" s="105"/>
      <c r="I8" s="105"/>
      <c r="J8" s="110"/>
      <c r="K8" s="18" t="s">
        <v>37</v>
      </c>
      <c r="L8" s="105"/>
      <c r="M8" s="70">
        <v>3564</v>
      </c>
      <c r="N8" s="105"/>
      <c r="O8" s="105"/>
      <c r="P8" s="105"/>
      <c r="Q8" s="105"/>
      <c r="R8" s="110"/>
      <c r="T8">
        <f t="shared" ref="T8:T61" si="0">(E8-M8)/1000</f>
        <v>0</v>
      </c>
      <c r="V8" s="117"/>
      <c r="W8" s="102"/>
      <c r="X8" s="105"/>
      <c r="Y8" s="18" t="s">
        <v>37</v>
      </c>
      <c r="Z8" s="105"/>
      <c r="AA8" s="20">
        <v>3.87</v>
      </c>
      <c r="AB8" s="105"/>
      <c r="AC8" s="105"/>
      <c r="AD8" s="105"/>
      <c r="AE8" s="105"/>
      <c r="AF8" s="110"/>
      <c r="AG8" s="18" t="s">
        <v>37</v>
      </c>
      <c r="AH8" s="105"/>
      <c r="AI8" s="20">
        <v>3.8540000000000001</v>
      </c>
      <c r="AJ8" s="105"/>
      <c r="AK8" s="105"/>
      <c r="AL8" s="105"/>
      <c r="AM8" s="105"/>
      <c r="AN8" s="110"/>
      <c r="AO8" s="74"/>
      <c r="AP8" s="76">
        <f t="shared" ref="AP8:AP61" si="1">AA8-AI8</f>
        <v>1.6000000000000014E-2</v>
      </c>
      <c r="AQ8" s="74"/>
      <c r="AS8" s="102"/>
      <c r="AT8" s="105"/>
      <c r="AU8" s="18" t="s">
        <v>37</v>
      </c>
      <c r="AV8" s="105"/>
      <c r="AW8" s="20">
        <v>3.6549999999999998</v>
      </c>
      <c r="AX8" s="105"/>
      <c r="AY8" s="105"/>
      <c r="AZ8" s="105"/>
      <c r="BA8" s="105"/>
      <c r="BB8" s="110"/>
      <c r="BC8" s="18" t="s">
        <v>37</v>
      </c>
      <c r="BD8" s="105"/>
      <c r="BE8" s="20">
        <v>3.6320000000000001</v>
      </c>
      <c r="BF8" s="105"/>
      <c r="BG8" s="105"/>
      <c r="BH8" s="105"/>
      <c r="BI8" s="105"/>
      <c r="BJ8" s="110"/>
      <c r="BK8" s="74"/>
      <c r="BL8" s="76">
        <f t="shared" ref="BL8:BL62" si="2">AW8-BE8</f>
        <v>2.2999999999999687E-2</v>
      </c>
      <c r="BN8" s="102"/>
      <c r="BO8" s="105"/>
      <c r="BP8" s="18" t="s">
        <v>37</v>
      </c>
      <c r="BQ8" s="105"/>
      <c r="BR8" s="20">
        <v>3.4529999999999998</v>
      </c>
      <c r="BS8" s="105"/>
      <c r="BT8" s="105"/>
      <c r="BU8" s="105"/>
      <c r="BV8" s="105"/>
      <c r="BW8" s="110"/>
      <c r="BX8" s="18" t="s">
        <v>37</v>
      </c>
      <c r="BY8" s="105"/>
      <c r="BZ8" s="20">
        <v>3.399</v>
      </c>
      <c r="CA8" s="105"/>
      <c r="CB8" s="105"/>
      <c r="CC8" s="105"/>
      <c r="CD8" s="105"/>
      <c r="CE8" s="110"/>
      <c r="CF8" s="74"/>
      <c r="CG8" s="76">
        <f t="shared" ref="CG8:CG61" si="3">BR8-BZ8</f>
        <v>5.3999999999999826E-2</v>
      </c>
      <c r="CI8" s="102"/>
      <c r="CJ8" s="105"/>
      <c r="CK8" s="18" t="s">
        <v>37</v>
      </c>
      <c r="CL8" s="105"/>
      <c r="CM8" s="20">
        <v>3.581</v>
      </c>
      <c r="CN8" s="105"/>
      <c r="CO8" s="105"/>
      <c r="CP8" s="105"/>
      <c r="CQ8" s="105"/>
      <c r="CR8" s="110"/>
      <c r="CS8" s="18" t="s">
        <v>37</v>
      </c>
      <c r="CT8" s="105"/>
      <c r="CU8" s="19"/>
      <c r="CV8" s="105"/>
      <c r="CW8" s="105"/>
      <c r="CX8" s="105"/>
      <c r="CY8" s="105"/>
      <c r="CZ8" s="110"/>
      <c r="DA8" s="74"/>
      <c r="DC8" s="102"/>
      <c r="DD8" s="105"/>
      <c r="DE8" s="18" t="s">
        <v>37</v>
      </c>
      <c r="DF8" s="105"/>
      <c r="DG8" s="20">
        <v>3.7149999999999999</v>
      </c>
      <c r="DH8" s="105"/>
      <c r="DI8" s="105"/>
      <c r="DJ8" s="105"/>
      <c r="DK8" s="105"/>
      <c r="DL8" s="110"/>
      <c r="DM8" s="18" t="s">
        <v>37</v>
      </c>
      <c r="DN8" s="105"/>
      <c r="DO8" s="20">
        <v>3.714</v>
      </c>
      <c r="DP8" s="105"/>
      <c r="DQ8" s="105"/>
      <c r="DR8" s="105"/>
      <c r="DS8" s="105"/>
      <c r="DT8" s="110"/>
      <c r="DV8" s="81">
        <f t="shared" ref="DV8:DV61" si="4">DO8-DG8</f>
        <v>-9.9999999999988987E-4</v>
      </c>
    </row>
    <row r="9" spans="1:126" ht="14.25" customHeight="1" x14ac:dyDescent="0.3">
      <c r="A9" s="102"/>
      <c r="B9" s="105"/>
      <c r="C9" s="18" t="s">
        <v>38</v>
      </c>
      <c r="D9" s="105"/>
      <c r="E9" s="70">
        <v>3564</v>
      </c>
      <c r="F9" s="105"/>
      <c r="G9" s="105"/>
      <c r="H9" s="105"/>
      <c r="I9" s="105"/>
      <c r="J9" s="110"/>
      <c r="K9" s="18" t="s">
        <v>38</v>
      </c>
      <c r="L9" s="105"/>
      <c r="M9" s="70">
        <v>3562</v>
      </c>
      <c r="N9" s="105"/>
      <c r="O9" s="105"/>
      <c r="P9" s="105"/>
      <c r="Q9" s="105"/>
      <c r="R9" s="110"/>
      <c r="T9">
        <f t="shared" si="0"/>
        <v>2E-3</v>
      </c>
      <c r="V9" s="117"/>
      <c r="W9" s="102"/>
      <c r="X9" s="105"/>
      <c r="Y9" s="18" t="s">
        <v>38</v>
      </c>
      <c r="Z9" s="105"/>
      <c r="AA9" s="20">
        <v>3.867</v>
      </c>
      <c r="AB9" s="105"/>
      <c r="AC9" s="105"/>
      <c r="AD9" s="105"/>
      <c r="AE9" s="105"/>
      <c r="AF9" s="110"/>
      <c r="AG9" s="18" t="s">
        <v>38</v>
      </c>
      <c r="AH9" s="105"/>
      <c r="AI9" s="20">
        <v>3.8519999999999999</v>
      </c>
      <c r="AJ9" s="105"/>
      <c r="AK9" s="105"/>
      <c r="AL9" s="105"/>
      <c r="AM9" s="105"/>
      <c r="AN9" s="110"/>
      <c r="AO9" s="74"/>
      <c r="AP9" s="76">
        <f t="shared" si="1"/>
        <v>1.5000000000000124E-2</v>
      </c>
      <c r="AQ9" s="74"/>
      <c r="AS9" s="102"/>
      <c r="AT9" s="105"/>
      <c r="AU9" s="18" t="s">
        <v>38</v>
      </c>
      <c r="AV9" s="105"/>
      <c r="AW9" s="20">
        <v>3.6539999999999999</v>
      </c>
      <c r="AX9" s="105"/>
      <c r="AY9" s="105"/>
      <c r="AZ9" s="105"/>
      <c r="BA9" s="105"/>
      <c r="BB9" s="110"/>
      <c r="BC9" s="18" t="s">
        <v>38</v>
      </c>
      <c r="BD9" s="105"/>
      <c r="BE9" s="20">
        <v>3.6309999999999998</v>
      </c>
      <c r="BF9" s="105"/>
      <c r="BG9" s="105"/>
      <c r="BH9" s="105"/>
      <c r="BI9" s="105"/>
      <c r="BJ9" s="110"/>
      <c r="BK9" s="74"/>
      <c r="BL9" s="76">
        <f t="shared" si="2"/>
        <v>2.3000000000000131E-2</v>
      </c>
      <c r="BN9" s="102"/>
      <c r="BO9" s="105"/>
      <c r="BP9" s="18" t="s">
        <v>38</v>
      </c>
      <c r="BQ9" s="105"/>
      <c r="BR9" s="20">
        <v>3.4489999999999998</v>
      </c>
      <c r="BS9" s="105"/>
      <c r="BT9" s="105"/>
      <c r="BU9" s="105"/>
      <c r="BV9" s="105"/>
      <c r="BW9" s="110"/>
      <c r="BX9" s="18" t="s">
        <v>38</v>
      </c>
      <c r="BY9" s="105"/>
      <c r="BZ9" s="20">
        <v>3.3980000000000001</v>
      </c>
      <c r="CA9" s="105"/>
      <c r="CB9" s="105"/>
      <c r="CC9" s="105"/>
      <c r="CD9" s="105"/>
      <c r="CE9" s="110"/>
      <c r="CF9" s="74"/>
      <c r="CG9" s="76">
        <f t="shared" si="3"/>
        <v>5.0999999999999712E-2</v>
      </c>
      <c r="CI9" s="102"/>
      <c r="CJ9" s="105"/>
      <c r="CK9" s="18" t="s">
        <v>38</v>
      </c>
      <c r="CL9" s="105"/>
      <c r="CM9" s="20">
        <v>3.581</v>
      </c>
      <c r="CN9" s="105"/>
      <c r="CO9" s="105"/>
      <c r="CP9" s="105"/>
      <c r="CQ9" s="105"/>
      <c r="CR9" s="110"/>
      <c r="CS9" s="18" t="s">
        <v>38</v>
      </c>
      <c r="CT9" s="105"/>
      <c r="CU9" s="19"/>
      <c r="CV9" s="105"/>
      <c r="CW9" s="105"/>
      <c r="CX9" s="105"/>
      <c r="CY9" s="105"/>
      <c r="CZ9" s="110"/>
      <c r="DA9" s="74"/>
      <c r="DC9" s="102"/>
      <c r="DD9" s="105"/>
      <c r="DE9" s="18" t="s">
        <v>38</v>
      </c>
      <c r="DF9" s="105"/>
      <c r="DG9" s="20">
        <v>3.714</v>
      </c>
      <c r="DH9" s="105"/>
      <c r="DI9" s="105"/>
      <c r="DJ9" s="105"/>
      <c r="DK9" s="105"/>
      <c r="DL9" s="110"/>
      <c r="DM9" s="18" t="s">
        <v>38</v>
      </c>
      <c r="DN9" s="105"/>
      <c r="DO9" s="20">
        <v>3.7109999999999999</v>
      </c>
      <c r="DP9" s="105"/>
      <c r="DQ9" s="105"/>
      <c r="DR9" s="105"/>
      <c r="DS9" s="105"/>
      <c r="DT9" s="110"/>
      <c r="DV9" s="81">
        <f t="shared" si="4"/>
        <v>-3.0000000000001137E-3</v>
      </c>
    </row>
    <row r="10" spans="1:126" ht="14.25" customHeight="1" x14ac:dyDescent="0.3">
      <c r="A10" s="102"/>
      <c r="B10" s="105"/>
      <c r="C10" s="18" t="s">
        <v>39</v>
      </c>
      <c r="D10" s="105"/>
      <c r="E10" s="70">
        <v>3564</v>
      </c>
      <c r="F10" s="105"/>
      <c r="G10" s="105"/>
      <c r="H10" s="105"/>
      <c r="I10" s="105"/>
      <c r="J10" s="110"/>
      <c r="K10" s="18" t="s">
        <v>39</v>
      </c>
      <c r="L10" s="105"/>
      <c r="M10" s="70">
        <v>3562</v>
      </c>
      <c r="N10" s="105"/>
      <c r="O10" s="105"/>
      <c r="P10" s="105"/>
      <c r="Q10" s="105"/>
      <c r="R10" s="110"/>
      <c r="T10">
        <f t="shared" si="0"/>
        <v>2E-3</v>
      </c>
      <c r="V10" s="117"/>
      <c r="W10" s="102"/>
      <c r="X10" s="105"/>
      <c r="Y10" s="18" t="s">
        <v>39</v>
      </c>
      <c r="Z10" s="105"/>
      <c r="AA10" s="20">
        <v>3.863</v>
      </c>
      <c r="AB10" s="105"/>
      <c r="AC10" s="105"/>
      <c r="AD10" s="105"/>
      <c r="AE10" s="105"/>
      <c r="AF10" s="110"/>
      <c r="AG10" s="18" t="s">
        <v>39</v>
      </c>
      <c r="AH10" s="105"/>
      <c r="AI10" s="20">
        <v>3.8530000000000002</v>
      </c>
      <c r="AJ10" s="105"/>
      <c r="AK10" s="105"/>
      <c r="AL10" s="105"/>
      <c r="AM10" s="105"/>
      <c r="AN10" s="110"/>
      <c r="AO10" s="74"/>
      <c r="AP10" s="76">
        <f t="shared" si="1"/>
        <v>9.9999999999997868E-3</v>
      </c>
      <c r="AQ10" s="74"/>
      <c r="AS10" s="102"/>
      <c r="AT10" s="105"/>
      <c r="AU10" s="18" t="s">
        <v>39</v>
      </c>
      <c r="AV10" s="105"/>
      <c r="AW10" s="20">
        <v>3.6539999999999999</v>
      </c>
      <c r="AX10" s="105"/>
      <c r="AY10" s="105"/>
      <c r="AZ10" s="105"/>
      <c r="BA10" s="105"/>
      <c r="BB10" s="110"/>
      <c r="BC10" s="18" t="s">
        <v>39</v>
      </c>
      <c r="BD10" s="105"/>
      <c r="BE10" s="20">
        <v>3.633</v>
      </c>
      <c r="BF10" s="105"/>
      <c r="BG10" s="105"/>
      <c r="BH10" s="105"/>
      <c r="BI10" s="105"/>
      <c r="BJ10" s="110"/>
      <c r="BK10" s="74"/>
      <c r="BL10" s="76">
        <f t="shared" si="2"/>
        <v>2.0999999999999908E-2</v>
      </c>
      <c r="BN10" s="102"/>
      <c r="BO10" s="105"/>
      <c r="BP10" s="18" t="s">
        <v>39</v>
      </c>
      <c r="BQ10" s="105"/>
      <c r="BR10" s="20">
        <v>3.45</v>
      </c>
      <c r="BS10" s="105"/>
      <c r="BT10" s="105"/>
      <c r="BU10" s="105"/>
      <c r="BV10" s="105"/>
      <c r="BW10" s="110"/>
      <c r="BX10" s="18" t="s">
        <v>39</v>
      </c>
      <c r="BY10" s="105"/>
      <c r="BZ10" s="20">
        <v>3.4</v>
      </c>
      <c r="CA10" s="105"/>
      <c r="CB10" s="105"/>
      <c r="CC10" s="105"/>
      <c r="CD10" s="105"/>
      <c r="CE10" s="110"/>
      <c r="CF10" s="74"/>
      <c r="CG10" s="76">
        <f t="shared" si="3"/>
        <v>5.0000000000000266E-2</v>
      </c>
      <c r="CI10" s="102"/>
      <c r="CJ10" s="105"/>
      <c r="CK10" s="18" t="s">
        <v>39</v>
      </c>
      <c r="CL10" s="105"/>
      <c r="CM10" s="20">
        <v>3.5779999999999998</v>
      </c>
      <c r="CN10" s="105"/>
      <c r="CO10" s="105"/>
      <c r="CP10" s="105"/>
      <c r="CQ10" s="105"/>
      <c r="CR10" s="110"/>
      <c r="CS10" s="18" t="s">
        <v>39</v>
      </c>
      <c r="CT10" s="105"/>
      <c r="CU10" s="19"/>
      <c r="CV10" s="105"/>
      <c r="CW10" s="105"/>
      <c r="CX10" s="105"/>
      <c r="CY10" s="105"/>
      <c r="CZ10" s="110"/>
      <c r="DA10" s="74"/>
      <c r="DC10" s="102"/>
      <c r="DD10" s="105"/>
      <c r="DE10" s="18" t="s">
        <v>39</v>
      </c>
      <c r="DF10" s="105"/>
      <c r="DG10" s="20">
        <v>3.714</v>
      </c>
      <c r="DH10" s="105"/>
      <c r="DI10" s="105"/>
      <c r="DJ10" s="105"/>
      <c r="DK10" s="105"/>
      <c r="DL10" s="110"/>
      <c r="DM10" s="18" t="s">
        <v>39</v>
      </c>
      <c r="DN10" s="105"/>
      <c r="DO10" s="20">
        <v>3.71</v>
      </c>
      <c r="DP10" s="105"/>
      <c r="DQ10" s="105"/>
      <c r="DR10" s="105"/>
      <c r="DS10" s="105"/>
      <c r="DT10" s="110"/>
      <c r="DV10" s="81">
        <f t="shared" si="4"/>
        <v>-4.0000000000000036E-3</v>
      </c>
    </row>
    <row r="11" spans="1:126" ht="14.25" customHeight="1" x14ac:dyDescent="0.3">
      <c r="A11" s="102"/>
      <c r="B11" s="105"/>
      <c r="C11" s="18" t="s">
        <v>40</v>
      </c>
      <c r="D11" s="105"/>
      <c r="E11" s="70">
        <v>3563</v>
      </c>
      <c r="F11" s="105"/>
      <c r="G11" s="105"/>
      <c r="H11" s="105"/>
      <c r="I11" s="105"/>
      <c r="J11" s="110"/>
      <c r="K11" s="18" t="s">
        <v>40</v>
      </c>
      <c r="L11" s="105"/>
      <c r="M11" s="70">
        <v>3562</v>
      </c>
      <c r="N11" s="105"/>
      <c r="O11" s="105"/>
      <c r="P11" s="105"/>
      <c r="Q11" s="105"/>
      <c r="R11" s="110"/>
      <c r="T11">
        <f t="shared" si="0"/>
        <v>1E-3</v>
      </c>
      <c r="V11" s="117"/>
      <c r="W11" s="102"/>
      <c r="X11" s="105"/>
      <c r="Y11" s="18" t="s">
        <v>40</v>
      </c>
      <c r="Z11" s="105"/>
      <c r="AA11" s="20">
        <v>3.863</v>
      </c>
      <c r="AB11" s="105"/>
      <c r="AC11" s="105"/>
      <c r="AD11" s="105"/>
      <c r="AE11" s="105"/>
      <c r="AF11" s="110"/>
      <c r="AG11" s="18" t="s">
        <v>40</v>
      </c>
      <c r="AH11" s="105"/>
      <c r="AI11" s="20">
        <v>3.85</v>
      </c>
      <c r="AJ11" s="105"/>
      <c r="AK11" s="105"/>
      <c r="AL11" s="105"/>
      <c r="AM11" s="105"/>
      <c r="AN11" s="110"/>
      <c r="AO11" s="74"/>
      <c r="AP11" s="76">
        <f t="shared" si="1"/>
        <v>1.2999999999999901E-2</v>
      </c>
      <c r="AQ11" s="74"/>
      <c r="AS11" s="102"/>
      <c r="AT11" s="105"/>
      <c r="AU11" s="18" t="s">
        <v>40</v>
      </c>
      <c r="AV11" s="105"/>
      <c r="AW11" s="20">
        <v>3.653</v>
      </c>
      <c r="AX11" s="105"/>
      <c r="AY11" s="105"/>
      <c r="AZ11" s="105"/>
      <c r="BA11" s="105"/>
      <c r="BB11" s="110"/>
      <c r="BC11" s="18" t="s">
        <v>40</v>
      </c>
      <c r="BD11" s="105"/>
      <c r="BE11" s="20">
        <v>3.6309999999999998</v>
      </c>
      <c r="BF11" s="105"/>
      <c r="BG11" s="105"/>
      <c r="BH11" s="105"/>
      <c r="BI11" s="105"/>
      <c r="BJ11" s="110"/>
      <c r="BK11" s="74"/>
      <c r="BL11" s="76">
        <f t="shared" si="2"/>
        <v>2.2000000000000242E-2</v>
      </c>
      <c r="BN11" s="102"/>
      <c r="BO11" s="105"/>
      <c r="BP11" s="18" t="s">
        <v>40</v>
      </c>
      <c r="BQ11" s="105"/>
      <c r="BR11" s="20">
        <v>3.45</v>
      </c>
      <c r="BS11" s="105"/>
      <c r="BT11" s="105"/>
      <c r="BU11" s="105"/>
      <c r="BV11" s="105"/>
      <c r="BW11" s="110"/>
      <c r="BX11" s="18" t="s">
        <v>40</v>
      </c>
      <c r="BY11" s="105"/>
      <c r="BZ11" s="20">
        <v>3.3980000000000001</v>
      </c>
      <c r="CA11" s="105"/>
      <c r="CB11" s="105"/>
      <c r="CC11" s="105"/>
      <c r="CD11" s="105"/>
      <c r="CE11" s="110"/>
      <c r="CF11" s="74"/>
      <c r="CG11" s="76">
        <f t="shared" si="3"/>
        <v>5.2000000000000046E-2</v>
      </c>
      <c r="CI11" s="102"/>
      <c r="CJ11" s="105"/>
      <c r="CK11" s="18" t="s">
        <v>40</v>
      </c>
      <c r="CL11" s="105"/>
      <c r="CM11" s="20">
        <v>3.5779999999999998</v>
      </c>
      <c r="CN11" s="105"/>
      <c r="CO11" s="105"/>
      <c r="CP11" s="105"/>
      <c r="CQ11" s="105"/>
      <c r="CR11" s="110"/>
      <c r="CS11" s="18" t="s">
        <v>40</v>
      </c>
      <c r="CT11" s="105"/>
      <c r="CU11" s="19"/>
      <c r="CV11" s="105"/>
      <c r="CW11" s="105"/>
      <c r="CX11" s="105"/>
      <c r="CY11" s="105"/>
      <c r="CZ11" s="110"/>
      <c r="DA11" s="74"/>
      <c r="DC11" s="102"/>
      <c r="DD11" s="105"/>
      <c r="DE11" s="18" t="s">
        <v>40</v>
      </c>
      <c r="DF11" s="105"/>
      <c r="DG11" s="20">
        <v>3.7120000000000002</v>
      </c>
      <c r="DH11" s="105"/>
      <c r="DI11" s="105"/>
      <c r="DJ11" s="105"/>
      <c r="DK11" s="105"/>
      <c r="DL11" s="110"/>
      <c r="DM11" s="18" t="s">
        <v>40</v>
      </c>
      <c r="DN11" s="105"/>
      <c r="DO11" s="20">
        <v>3.7090000000000001</v>
      </c>
      <c r="DP11" s="105"/>
      <c r="DQ11" s="105"/>
      <c r="DR11" s="105"/>
      <c r="DS11" s="105"/>
      <c r="DT11" s="110"/>
      <c r="DV11" s="81">
        <f t="shared" si="4"/>
        <v>-3.0000000000001137E-3</v>
      </c>
    </row>
    <row r="12" spans="1:126" ht="14.25" customHeight="1" x14ac:dyDescent="0.3">
      <c r="A12" s="102"/>
      <c r="B12" s="105"/>
      <c r="C12" s="18" t="s">
        <v>41</v>
      </c>
      <c r="D12" s="105"/>
      <c r="E12" s="70">
        <v>3563</v>
      </c>
      <c r="F12" s="105"/>
      <c r="G12" s="105"/>
      <c r="H12" s="105"/>
      <c r="I12" s="105"/>
      <c r="J12" s="110"/>
      <c r="K12" s="18" t="s">
        <v>41</v>
      </c>
      <c r="L12" s="105"/>
      <c r="M12" s="70">
        <v>3562</v>
      </c>
      <c r="N12" s="105"/>
      <c r="O12" s="105"/>
      <c r="P12" s="105"/>
      <c r="Q12" s="105"/>
      <c r="R12" s="110"/>
      <c r="T12">
        <f t="shared" si="0"/>
        <v>1E-3</v>
      </c>
      <c r="V12" s="117"/>
      <c r="W12" s="102"/>
      <c r="X12" s="105"/>
      <c r="Y12" s="18" t="s">
        <v>41</v>
      </c>
      <c r="Z12" s="105"/>
      <c r="AA12" s="20">
        <v>3.859</v>
      </c>
      <c r="AB12" s="105"/>
      <c r="AC12" s="105"/>
      <c r="AD12" s="105"/>
      <c r="AE12" s="105"/>
      <c r="AF12" s="110"/>
      <c r="AG12" s="18" t="s">
        <v>41</v>
      </c>
      <c r="AH12" s="105"/>
      <c r="AI12" s="20">
        <v>3.8450000000000002</v>
      </c>
      <c r="AJ12" s="105"/>
      <c r="AK12" s="105"/>
      <c r="AL12" s="105"/>
      <c r="AM12" s="105"/>
      <c r="AN12" s="110"/>
      <c r="AO12" s="74"/>
      <c r="AP12" s="76">
        <f t="shared" si="1"/>
        <v>1.399999999999979E-2</v>
      </c>
      <c r="AQ12" s="74"/>
      <c r="AS12" s="102"/>
      <c r="AT12" s="105"/>
      <c r="AU12" s="18" t="s">
        <v>41</v>
      </c>
      <c r="AV12" s="105"/>
      <c r="AW12" s="20">
        <v>3.6440000000000001</v>
      </c>
      <c r="AX12" s="105"/>
      <c r="AY12" s="105"/>
      <c r="AZ12" s="105"/>
      <c r="BA12" s="105"/>
      <c r="BB12" s="110"/>
      <c r="BC12" s="18" t="s">
        <v>41</v>
      </c>
      <c r="BD12" s="105"/>
      <c r="BE12" s="20">
        <v>3.6259999999999999</v>
      </c>
      <c r="BF12" s="105"/>
      <c r="BG12" s="105"/>
      <c r="BH12" s="105"/>
      <c r="BI12" s="105"/>
      <c r="BJ12" s="110"/>
      <c r="BK12" s="74"/>
      <c r="BL12" s="76">
        <f t="shared" si="2"/>
        <v>1.8000000000000238E-2</v>
      </c>
      <c r="BN12" s="102"/>
      <c r="BO12" s="105"/>
      <c r="BP12" s="18" t="s">
        <v>41</v>
      </c>
      <c r="BQ12" s="105"/>
      <c r="BR12" s="20">
        <v>3.431</v>
      </c>
      <c r="BS12" s="105"/>
      <c r="BT12" s="105"/>
      <c r="BU12" s="105"/>
      <c r="BV12" s="105"/>
      <c r="BW12" s="110"/>
      <c r="BX12" s="18" t="s">
        <v>41</v>
      </c>
      <c r="BY12" s="105"/>
      <c r="BZ12" s="20">
        <v>3.3759999999999999</v>
      </c>
      <c r="CA12" s="105"/>
      <c r="CB12" s="105"/>
      <c r="CC12" s="105"/>
      <c r="CD12" s="105"/>
      <c r="CE12" s="110"/>
      <c r="CF12" s="74"/>
      <c r="CG12" s="76">
        <f t="shared" si="3"/>
        <v>5.500000000000016E-2</v>
      </c>
      <c r="CI12" s="102"/>
      <c r="CJ12" s="105"/>
      <c r="CK12" s="18" t="s">
        <v>41</v>
      </c>
      <c r="CL12" s="105"/>
      <c r="CM12" s="20">
        <v>3.5550000000000002</v>
      </c>
      <c r="CN12" s="105"/>
      <c r="CO12" s="105"/>
      <c r="CP12" s="105"/>
      <c r="CQ12" s="105"/>
      <c r="CR12" s="110"/>
      <c r="CS12" s="18" t="s">
        <v>41</v>
      </c>
      <c r="CT12" s="105"/>
      <c r="CU12" s="19"/>
      <c r="CV12" s="105"/>
      <c r="CW12" s="105"/>
      <c r="CX12" s="105"/>
      <c r="CY12" s="105"/>
      <c r="CZ12" s="110"/>
      <c r="DA12" s="74"/>
      <c r="DC12" s="102"/>
      <c r="DD12" s="105"/>
      <c r="DE12" s="18" t="s">
        <v>41</v>
      </c>
      <c r="DF12" s="105"/>
      <c r="DG12" s="20">
        <v>3.7109999999999999</v>
      </c>
      <c r="DH12" s="105"/>
      <c r="DI12" s="105"/>
      <c r="DJ12" s="105"/>
      <c r="DK12" s="105"/>
      <c r="DL12" s="110"/>
      <c r="DM12" s="18" t="s">
        <v>41</v>
      </c>
      <c r="DN12" s="105"/>
      <c r="DO12" s="20">
        <v>3.7080000000000002</v>
      </c>
      <c r="DP12" s="105"/>
      <c r="DQ12" s="105"/>
      <c r="DR12" s="105"/>
      <c r="DS12" s="105"/>
      <c r="DT12" s="110"/>
      <c r="DV12" s="81">
        <f t="shared" si="4"/>
        <v>-2.9999999999996696E-3</v>
      </c>
    </row>
    <row r="13" spans="1:126" ht="14.25" customHeight="1" x14ac:dyDescent="0.3">
      <c r="A13" s="102"/>
      <c r="B13" s="105"/>
      <c r="C13" s="18" t="s">
        <v>42</v>
      </c>
      <c r="D13" s="105"/>
      <c r="E13" s="70">
        <v>3564</v>
      </c>
      <c r="F13" s="105"/>
      <c r="G13" s="105"/>
      <c r="H13" s="105"/>
      <c r="I13" s="105"/>
      <c r="J13" s="110"/>
      <c r="K13" s="18" t="s">
        <v>42</v>
      </c>
      <c r="L13" s="105"/>
      <c r="M13" s="70">
        <v>3563</v>
      </c>
      <c r="N13" s="105"/>
      <c r="O13" s="105"/>
      <c r="P13" s="105"/>
      <c r="Q13" s="105"/>
      <c r="R13" s="110"/>
      <c r="S13">
        <f>L7-D7</f>
        <v>0.79999999999999716</v>
      </c>
      <c r="T13">
        <f t="shared" si="0"/>
        <v>1E-3</v>
      </c>
      <c r="V13" s="117"/>
      <c r="W13" s="102"/>
      <c r="X13" s="105"/>
      <c r="Y13" s="18" t="s">
        <v>42</v>
      </c>
      <c r="Z13" s="105"/>
      <c r="AA13" s="20">
        <v>3.8679999999999999</v>
      </c>
      <c r="AB13" s="105"/>
      <c r="AC13" s="105"/>
      <c r="AD13" s="105"/>
      <c r="AE13" s="105"/>
      <c r="AF13" s="110"/>
      <c r="AG13" s="18" t="s">
        <v>42</v>
      </c>
      <c r="AH13" s="105"/>
      <c r="AI13" s="20">
        <v>3.8530000000000002</v>
      </c>
      <c r="AJ13" s="105"/>
      <c r="AK13" s="105"/>
      <c r="AL13" s="105"/>
      <c r="AM13" s="105"/>
      <c r="AN13" s="110"/>
      <c r="AO13" s="74">
        <f>AH7-Z7</f>
        <v>0</v>
      </c>
      <c r="AP13" s="76">
        <f t="shared" si="1"/>
        <v>1.499999999999968E-2</v>
      </c>
      <c r="AQ13" s="74"/>
      <c r="AS13" s="102"/>
      <c r="AT13" s="105"/>
      <c r="AU13" s="18" t="s">
        <v>42</v>
      </c>
      <c r="AV13" s="105"/>
      <c r="AW13" s="20">
        <v>3.657</v>
      </c>
      <c r="AX13" s="105"/>
      <c r="AY13" s="105"/>
      <c r="AZ13" s="105"/>
      <c r="BA13" s="105"/>
      <c r="BB13" s="110"/>
      <c r="BC13" s="18" t="s">
        <v>42</v>
      </c>
      <c r="BD13" s="105"/>
      <c r="BE13" s="20">
        <v>3.633</v>
      </c>
      <c r="BF13" s="105"/>
      <c r="BG13" s="105"/>
      <c r="BH13" s="105"/>
      <c r="BI13" s="105"/>
      <c r="BJ13" s="110"/>
      <c r="BK13" s="74">
        <f>BD7-AV7</f>
        <v>0</v>
      </c>
      <c r="BL13" s="76">
        <f t="shared" si="2"/>
        <v>2.4000000000000021E-2</v>
      </c>
      <c r="BN13" s="102"/>
      <c r="BO13" s="105"/>
      <c r="BP13" s="18" t="s">
        <v>42</v>
      </c>
      <c r="BQ13" s="105"/>
      <c r="BR13" s="20">
        <v>3.4540000000000002</v>
      </c>
      <c r="BS13" s="105"/>
      <c r="BT13" s="105"/>
      <c r="BU13" s="105"/>
      <c r="BV13" s="105"/>
      <c r="BW13" s="110"/>
      <c r="BX13" s="18" t="s">
        <v>42</v>
      </c>
      <c r="BY13" s="105"/>
      <c r="BZ13" s="20">
        <v>3.4</v>
      </c>
      <c r="CA13" s="105"/>
      <c r="CB13" s="105"/>
      <c r="CC13" s="105"/>
      <c r="CD13" s="105"/>
      <c r="CE13" s="110"/>
      <c r="CF13" s="74">
        <f>BY7-BQ7</f>
        <v>1.3000000000000043</v>
      </c>
      <c r="CG13" s="76">
        <f t="shared" si="3"/>
        <v>5.400000000000027E-2</v>
      </c>
      <c r="CI13" s="102"/>
      <c r="CJ13" s="105"/>
      <c r="CK13" s="18" t="s">
        <v>42</v>
      </c>
      <c r="CL13" s="105"/>
      <c r="CM13" s="20">
        <v>3.5790000000000002</v>
      </c>
      <c r="CN13" s="105"/>
      <c r="CO13" s="105"/>
      <c r="CP13" s="105"/>
      <c r="CQ13" s="105"/>
      <c r="CR13" s="110"/>
      <c r="CS13" s="18" t="s">
        <v>42</v>
      </c>
      <c r="CT13" s="105"/>
      <c r="CU13" s="19"/>
      <c r="CV13" s="105"/>
      <c r="CW13" s="105"/>
      <c r="CX13" s="105"/>
      <c r="CY13" s="105"/>
      <c r="CZ13" s="110"/>
      <c r="DA13" s="74"/>
      <c r="DC13" s="102"/>
      <c r="DD13" s="105"/>
      <c r="DE13" s="18" t="s">
        <v>42</v>
      </c>
      <c r="DF13" s="105"/>
      <c r="DG13" s="20">
        <v>3.714</v>
      </c>
      <c r="DH13" s="105"/>
      <c r="DI13" s="105"/>
      <c r="DJ13" s="105"/>
      <c r="DK13" s="105"/>
      <c r="DL13" s="110"/>
      <c r="DM13" s="18" t="s">
        <v>42</v>
      </c>
      <c r="DN13" s="105"/>
      <c r="DO13" s="20">
        <v>3.71</v>
      </c>
      <c r="DP13" s="105"/>
      <c r="DQ13" s="105"/>
      <c r="DR13" s="105"/>
      <c r="DS13" s="105"/>
      <c r="DT13" s="110"/>
      <c r="DV13" s="81">
        <f t="shared" si="4"/>
        <v>-4.0000000000000036E-3</v>
      </c>
    </row>
    <row r="14" spans="1:126" ht="14.25" customHeight="1" x14ac:dyDescent="0.3">
      <c r="A14" s="102"/>
      <c r="B14" s="105"/>
      <c r="C14" s="18" t="s">
        <v>43</v>
      </c>
      <c r="D14" s="105"/>
      <c r="E14" s="70">
        <v>3564</v>
      </c>
      <c r="F14" s="105"/>
      <c r="G14" s="105"/>
      <c r="H14" s="105"/>
      <c r="I14" s="105"/>
      <c r="J14" s="110"/>
      <c r="K14" s="18" t="s">
        <v>43</v>
      </c>
      <c r="L14" s="105"/>
      <c r="M14" s="70">
        <v>3562</v>
      </c>
      <c r="N14" s="105"/>
      <c r="O14" s="105"/>
      <c r="P14" s="105"/>
      <c r="Q14" s="105"/>
      <c r="R14" s="110"/>
      <c r="T14">
        <f t="shared" si="0"/>
        <v>2E-3</v>
      </c>
      <c r="V14" s="117"/>
      <c r="W14" s="102"/>
      <c r="X14" s="105"/>
      <c r="Y14" s="18" t="s">
        <v>43</v>
      </c>
      <c r="Z14" s="105"/>
      <c r="AA14" s="20">
        <v>3.8650000000000002</v>
      </c>
      <c r="AB14" s="105"/>
      <c r="AC14" s="105"/>
      <c r="AD14" s="105"/>
      <c r="AE14" s="105"/>
      <c r="AF14" s="110"/>
      <c r="AG14" s="18" t="s">
        <v>43</v>
      </c>
      <c r="AH14" s="105"/>
      <c r="AI14" s="20">
        <v>3.851</v>
      </c>
      <c r="AJ14" s="105"/>
      <c r="AK14" s="105"/>
      <c r="AL14" s="105"/>
      <c r="AM14" s="105"/>
      <c r="AN14" s="110"/>
      <c r="AO14" s="74"/>
      <c r="AP14" s="76">
        <f t="shared" si="1"/>
        <v>1.4000000000000234E-2</v>
      </c>
      <c r="AQ14" s="74"/>
      <c r="AS14" s="102"/>
      <c r="AT14" s="105"/>
      <c r="AU14" s="18" t="s">
        <v>43</v>
      </c>
      <c r="AV14" s="105"/>
      <c r="AW14" s="20">
        <v>3.6539999999999999</v>
      </c>
      <c r="AX14" s="105"/>
      <c r="AY14" s="105"/>
      <c r="AZ14" s="105"/>
      <c r="BA14" s="105"/>
      <c r="BB14" s="110"/>
      <c r="BC14" s="18" t="s">
        <v>43</v>
      </c>
      <c r="BD14" s="105"/>
      <c r="BE14" s="20">
        <v>3.633</v>
      </c>
      <c r="BF14" s="105"/>
      <c r="BG14" s="105"/>
      <c r="BH14" s="105"/>
      <c r="BI14" s="105"/>
      <c r="BJ14" s="110"/>
      <c r="BK14" s="74"/>
      <c r="BL14" s="76">
        <f t="shared" si="2"/>
        <v>2.0999999999999908E-2</v>
      </c>
      <c r="BN14" s="102"/>
      <c r="BO14" s="105"/>
      <c r="BP14" s="18" t="s">
        <v>43</v>
      </c>
      <c r="BQ14" s="105"/>
      <c r="BR14" s="20">
        <v>3.448</v>
      </c>
      <c r="BS14" s="105"/>
      <c r="BT14" s="105"/>
      <c r="BU14" s="105"/>
      <c r="BV14" s="105"/>
      <c r="BW14" s="110"/>
      <c r="BX14" s="18" t="s">
        <v>43</v>
      </c>
      <c r="BY14" s="105"/>
      <c r="BZ14" s="20">
        <v>3.3969999999999998</v>
      </c>
      <c r="CA14" s="105"/>
      <c r="CB14" s="105"/>
      <c r="CC14" s="105"/>
      <c r="CD14" s="105"/>
      <c r="CE14" s="110"/>
      <c r="CF14" s="74"/>
      <c r="CG14" s="76">
        <f t="shared" si="3"/>
        <v>5.1000000000000156E-2</v>
      </c>
      <c r="CI14" s="102"/>
      <c r="CJ14" s="105"/>
      <c r="CK14" s="18" t="s">
        <v>43</v>
      </c>
      <c r="CL14" s="105"/>
      <c r="CM14" s="20">
        <v>3.5760000000000001</v>
      </c>
      <c r="CN14" s="105"/>
      <c r="CO14" s="105"/>
      <c r="CP14" s="105"/>
      <c r="CQ14" s="105"/>
      <c r="CR14" s="110"/>
      <c r="CS14" s="18" t="s">
        <v>43</v>
      </c>
      <c r="CT14" s="105"/>
      <c r="CU14" s="19"/>
      <c r="CV14" s="105"/>
      <c r="CW14" s="105"/>
      <c r="CX14" s="105"/>
      <c r="CY14" s="105"/>
      <c r="CZ14" s="110"/>
      <c r="DA14" s="74"/>
      <c r="DC14" s="102"/>
      <c r="DD14" s="105"/>
      <c r="DE14" s="18" t="s">
        <v>43</v>
      </c>
      <c r="DF14" s="105"/>
      <c r="DG14" s="20">
        <v>3.714</v>
      </c>
      <c r="DH14" s="105"/>
      <c r="DI14" s="105"/>
      <c r="DJ14" s="105"/>
      <c r="DK14" s="105"/>
      <c r="DL14" s="110"/>
      <c r="DM14" s="18" t="s">
        <v>43</v>
      </c>
      <c r="DN14" s="105"/>
      <c r="DO14" s="20">
        <v>3.71</v>
      </c>
      <c r="DP14" s="105"/>
      <c r="DQ14" s="105"/>
      <c r="DR14" s="105"/>
      <c r="DS14" s="105"/>
      <c r="DT14" s="110"/>
      <c r="DV14" s="81">
        <f t="shared" si="4"/>
        <v>-4.0000000000000036E-3</v>
      </c>
    </row>
    <row r="15" spans="1:126" ht="14.25" customHeight="1" x14ac:dyDescent="0.3">
      <c r="A15" s="102"/>
      <c r="B15" s="105"/>
      <c r="C15" s="18" t="s">
        <v>44</v>
      </c>
      <c r="D15" s="105"/>
      <c r="E15" s="70">
        <v>3564</v>
      </c>
      <c r="F15" s="105"/>
      <c r="G15" s="105"/>
      <c r="H15" s="105"/>
      <c r="I15" s="105"/>
      <c r="J15" s="110"/>
      <c r="K15" s="18" t="s">
        <v>44</v>
      </c>
      <c r="L15" s="105"/>
      <c r="M15" s="70">
        <v>3562</v>
      </c>
      <c r="N15" s="105"/>
      <c r="O15" s="105"/>
      <c r="P15" s="105"/>
      <c r="Q15" s="105"/>
      <c r="R15" s="110"/>
      <c r="T15">
        <f t="shared" si="0"/>
        <v>2E-3</v>
      </c>
      <c r="V15" s="117"/>
      <c r="W15" s="102"/>
      <c r="X15" s="105"/>
      <c r="Y15" s="18" t="s">
        <v>44</v>
      </c>
      <c r="Z15" s="105"/>
      <c r="AA15" s="20">
        <v>3.8690000000000002</v>
      </c>
      <c r="AB15" s="105"/>
      <c r="AC15" s="105"/>
      <c r="AD15" s="105"/>
      <c r="AE15" s="105"/>
      <c r="AF15" s="110"/>
      <c r="AG15" s="18" t="s">
        <v>44</v>
      </c>
      <c r="AH15" s="105"/>
      <c r="AI15" s="20">
        <v>3.851</v>
      </c>
      <c r="AJ15" s="105"/>
      <c r="AK15" s="105"/>
      <c r="AL15" s="105"/>
      <c r="AM15" s="105"/>
      <c r="AN15" s="110"/>
      <c r="AO15" s="74"/>
      <c r="AP15" s="76">
        <f t="shared" si="1"/>
        <v>1.8000000000000238E-2</v>
      </c>
      <c r="AQ15" s="74"/>
      <c r="AS15" s="102"/>
      <c r="AT15" s="105"/>
      <c r="AU15" s="18" t="s">
        <v>44</v>
      </c>
      <c r="AV15" s="105"/>
      <c r="AW15" s="20">
        <v>3.6520000000000001</v>
      </c>
      <c r="AX15" s="105"/>
      <c r="AY15" s="105"/>
      <c r="AZ15" s="105"/>
      <c r="BA15" s="105"/>
      <c r="BB15" s="110"/>
      <c r="BC15" s="18" t="s">
        <v>44</v>
      </c>
      <c r="BD15" s="105"/>
      <c r="BE15" s="20">
        <v>3.6349999999999998</v>
      </c>
      <c r="BF15" s="105"/>
      <c r="BG15" s="105"/>
      <c r="BH15" s="105"/>
      <c r="BI15" s="105"/>
      <c r="BJ15" s="110"/>
      <c r="BK15" s="74"/>
      <c r="BL15" s="76">
        <f t="shared" si="2"/>
        <v>1.7000000000000348E-2</v>
      </c>
      <c r="BN15" s="102"/>
      <c r="BO15" s="105"/>
      <c r="BP15" s="18" t="s">
        <v>44</v>
      </c>
      <c r="BQ15" s="105"/>
      <c r="BR15" s="20">
        <v>3.45</v>
      </c>
      <c r="BS15" s="105"/>
      <c r="BT15" s="105"/>
      <c r="BU15" s="105"/>
      <c r="BV15" s="105"/>
      <c r="BW15" s="110"/>
      <c r="BX15" s="18" t="s">
        <v>44</v>
      </c>
      <c r="BY15" s="105"/>
      <c r="BZ15" s="20">
        <v>3.3969999999999998</v>
      </c>
      <c r="CA15" s="105"/>
      <c r="CB15" s="105"/>
      <c r="CC15" s="105"/>
      <c r="CD15" s="105"/>
      <c r="CE15" s="110"/>
      <c r="CF15" s="74"/>
      <c r="CG15" s="76">
        <f t="shared" si="3"/>
        <v>5.300000000000038E-2</v>
      </c>
      <c r="CI15" s="102"/>
      <c r="CJ15" s="105"/>
      <c r="CK15" s="18" t="s">
        <v>44</v>
      </c>
      <c r="CL15" s="105"/>
      <c r="CM15" s="20">
        <v>3.581</v>
      </c>
      <c r="CN15" s="105"/>
      <c r="CO15" s="105"/>
      <c r="CP15" s="105"/>
      <c r="CQ15" s="105"/>
      <c r="CR15" s="110"/>
      <c r="CS15" s="18" t="s">
        <v>44</v>
      </c>
      <c r="CT15" s="105"/>
      <c r="CU15" s="19"/>
      <c r="CV15" s="105"/>
      <c r="CW15" s="105"/>
      <c r="CX15" s="105"/>
      <c r="CY15" s="105"/>
      <c r="CZ15" s="110"/>
      <c r="DA15" s="74"/>
      <c r="DC15" s="102"/>
      <c r="DD15" s="105"/>
      <c r="DE15" s="18" t="s">
        <v>44</v>
      </c>
      <c r="DF15" s="105"/>
      <c r="DG15" s="20">
        <v>3.714</v>
      </c>
      <c r="DH15" s="105"/>
      <c r="DI15" s="105"/>
      <c r="DJ15" s="105"/>
      <c r="DK15" s="105"/>
      <c r="DL15" s="110"/>
      <c r="DM15" s="18" t="s">
        <v>44</v>
      </c>
      <c r="DN15" s="105"/>
      <c r="DO15" s="20">
        <v>3.7109999999999999</v>
      </c>
      <c r="DP15" s="105"/>
      <c r="DQ15" s="105"/>
      <c r="DR15" s="105"/>
      <c r="DS15" s="105"/>
      <c r="DT15" s="110"/>
      <c r="DV15" s="81">
        <f t="shared" si="4"/>
        <v>-3.0000000000001137E-3</v>
      </c>
    </row>
    <row r="16" spans="1:126" ht="14.25" customHeight="1" x14ac:dyDescent="0.3">
      <c r="A16" s="102"/>
      <c r="B16" s="105"/>
      <c r="C16" s="18" t="s">
        <v>45</v>
      </c>
      <c r="D16" s="105"/>
      <c r="E16" s="70">
        <v>3565</v>
      </c>
      <c r="F16" s="105"/>
      <c r="G16" s="105"/>
      <c r="H16" s="105"/>
      <c r="I16" s="105"/>
      <c r="J16" s="110"/>
      <c r="K16" s="18" t="s">
        <v>45</v>
      </c>
      <c r="L16" s="105"/>
      <c r="M16" s="70">
        <v>3563</v>
      </c>
      <c r="N16" s="105"/>
      <c r="O16" s="105"/>
      <c r="P16" s="105"/>
      <c r="Q16" s="105"/>
      <c r="R16" s="110"/>
      <c r="T16">
        <f t="shared" si="0"/>
        <v>2E-3</v>
      </c>
      <c r="V16" s="117"/>
      <c r="W16" s="102"/>
      <c r="X16" s="105"/>
      <c r="Y16" s="18" t="s">
        <v>45</v>
      </c>
      <c r="Z16" s="105"/>
      <c r="AA16" s="20">
        <v>3.92</v>
      </c>
      <c r="AB16" s="105"/>
      <c r="AC16" s="105"/>
      <c r="AD16" s="105"/>
      <c r="AE16" s="105"/>
      <c r="AF16" s="110"/>
      <c r="AG16" s="18" t="s">
        <v>45</v>
      </c>
      <c r="AH16" s="105"/>
      <c r="AI16" s="20">
        <v>3.8530000000000002</v>
      </c>
      <c r="AJ16" s="105"/>
      <c r="AK16" s="105"/>
      <c r="AL16" s="105"/>
      <c r="AM16" s="105"/>
      <c r="AN16" s="110"/>
      <c r="AO16" s="74"/>
      <c r="AP16" s="76">
        <f t="shared" si="1"/>
        <v>6.6999999999999726E-2</v>
      </c>
      <c r="AQ16" s="74"/>
      <c r="AS16" s="102"/>
      <c r="AT16" s="105"/>
      <c r="AU16" s="18" t="s">
        <v>45</v>
      </c>
      <c r="AV16" s="105"/>
      <c r="AW16" s="20">
        <v>3.6539999999999999</v>
      </c>
      <c r="AX16" s="105"/>
      <c r="AY16" s="105"/>
      <c r="AZ16" s="105"/>
      <c r="BA16" s="105"/>
      <c r="BB16" s="110"/>
      <c r="BC16" s="18" t="s">
        <v>45</v>
      </c>
      <c r="BD16" s="105"/>
      <c r="BE16" s="20">
        <v>3.6349999999999998</v>
      </c>
      <c r="BF16" s="105"/>
      <c r="BG16" s="105"/>
      <c r="BH16" s="105"/>
      <c r="BI16" s="105"/>
      <c r="BJ16" s="110"/>
      <c r="BK16" s="74"/>
      <c r="BL16" s="76">
        <f t="shared" si="2"/>
        <v>1.9000000000000128E-2</v>
      </c>
      <c r="BN16" s="102"/>
      <c r="BO16" s="105"/>
      <c r="BP16" s="18" t="s">
        <v>45</v>
      </c>
      <c r="BQ16" s="105"/>
      <c r="BR16" s="20">
        <v>3.4540000000000002</v>
      </c>
      <c r="BS16" s="105"/>
      <c r="BT16" s="105"/>
      <c r="BU16" s="105"/>
      <c r="BV16" s="105"/>
      <c r="BW16" s="110"/>
      <c r="BX16" s="18" t="s">
        <v>45</v>
      </c>
      <c r="BY16" s="105"/>
      <c r="BZ16" s="20">
        <v>3.4020000000000001</v>
      </c>
      <c r="CA16" s="105"/>
      <c r="CB16" s="105"/>
      <c r="CC16" s="105"/>
      <c r="CD16" s="105"/>
      <c r="CE16" s="110"/>
      <c r="CF16" s="74"/>
      <c r="CG16" s="76">
        <f t="shared" si="3"/>
        <v>5.2000000000000046E-2</v>
      </c>
      <c r="CI16" s="102"/>
      <c r="CJ16" s="105"/>
      <c r="CK16" s="18" t="s">
        <v>45</v>
      </c>
      <c r="CL16" s="105"/>
      <c r="CM16" s="20">
        <v>3.5819999999999999</v>
      </c>
      <c r="CN16" s="105"/>
      <c r="CO16" s="105"/>
      <c r="CP16" s="105"/>
      <c r="CQ16" s="105"/>
      <c r="CR16" s="110"/>
      <c r="CS16" s="18" t="s">
        <v>45</v>
      </c>
      <c r="CT16" s="105"/>
      <c r="CU16" s="19"/>
      <c r="CV16" s="105"/>
      <c r="CW16" s="105"/>
      <c r="CX16" s="105"/>
      <c r="CY16" s="105"/>
      <c r="CZ16" s="110"/>
      <c r="DA16" s="74"/>
      <c r="DC16" s="102"/>
      <c r="DD16" s="105"/>
      <c r="DE16" s="18" t="s">
        <v>45</v>
      </c>
      <c r="DF16" s="105"/>
      <c r="DG16" s="20">
        <v>3.7160000000000002</v>
      </c>
      <c r="DH16" s="105"/>
      <c r="DI16" s="105"/>
      <c r="DJ16" s="105"/>
      <c r="DK16" s="105"/>
      <c r="DL16" s="110"/>
      <c r="DM16" s="18" t="s">
        <v>45</v>
      </c>
      <c r="DN16" s="105"/>
      <c r="DO16" s="20">
        <v>3.714</v>
      </c>
      <c r="DP16" s="105"/>
      <c r="DQ16" s="105"/>
      <c r="DR16" s="105"/>
      <c r="DS16" s="105"/>
      <c r="DT16" s="110"/>
      <c r="DV16" s="81">
        <f t="shared" si="4"/>
        <v>-2.0000000000002238E-3</v>
      </c>
    </row>
    <row r="17" spans="1:126" ht="14.25" customHeight="1" x14ac:dyDescent="0.3">
      <c r="A17" s="102"/>
      <c r="B17" s="105"/>
      <c r="C17" s="18" t="s">
        <v>46</v>
      </c>
      <c r="D17" s="105"/>
      <c r="E17" s="70">
        <v>3581</v>
      </c>
      <c r="F17" s="105"/>
      <c r="G17" s="105"/>
      <c r="H17" s="105"/>
      <c r="I17" s="105"/>
      <c r="J17" s="110"/>
      <c r="K17" s="18" t="s">
        <v>46</v>
      </c>
      <c r="L17" s="105"/>
      <c r="M17" s="70">
        <v>3580</v>
      </c>
      <c r="N17" s="105"/>
      <c r="O17" s="105"/>
      <c r="P17" s="105"/>
      <c r="Q17" s="105"/>
      <c r="R17" s="110"/>
      <c r="T17">
        <f t="shared" si="0"/>
        <v>1E-3</v>
      </c>
      <c r="V17" s="117"/>
      <c r="W17" s="102"/>
      <c r="X17" s="105"/>
      <c r="Y17" s="18" t="s">
        <v>46</v>
      </c>
      <c r="Z17" s="105"/>
      <c r="AA17" s="20">
        <v>3.8650000000000002</v>
      </c>
      <c r="AB17" s="105"/>
      <c r="AC17" s="105"/>
      <c r="AD17" s="105"/>
      <c r="AE17" s="105"/>
      <c r="AF17" s="110"/>
      <c r="AG17" s="18" t="s">
        <v>46</v>
      </c>
      <c r="AH17" s="105"/>
      <c r="AI17" s="20">
        <v>3.855</v>
      </c>
      <c r="AJ17" s="105"/>
      <c r="AK17" s="105"/>
      <c r="AL17" s="105"/>
      <c r="AM17" s="105"/>
      <c r="AN17" s="110"/>
      <c r="AO17" s="74"/>
      <c r="AP17" s="76">
        <f t="shared" si="1"/>
        <v>1.0000000000000231E-2</v>
      </c>
      <c r="AQ17" s="74"/>
      <c r="AS17" s="102"/>
      <c r="AT17" s="105"/>
      <c r="AU17" s="18" t="s">
        <v>46</v>
      </c>
      <c r="AV17" s="105"/>
      <c r="AW17" s="20">
        <v>3.6970000000000001</v>
      </c>
      <c r="AX17" s="105"/>
      <c r="AY17" s="105"/>
      <c r="AZ17" s="105"/>
      <c r="BA17" s="105"/>
      <c r="BB17" s="110"/>
      <c r="BC17" s="18" t="s">
        <v>46</v>
      </c>
      <c r="BD17" s="105"/>
      <c r="BE17" s="20">
        <v>3.6669999999999998</v>
      </c>
      <c r="BF17" s="105"/>
      <c r="BG17" s="105"/>
      <c r="BH17" s="105"/>
      <c r="BI17" s="105"/>
      <c r="BJ17" s="110"/>
      <c r="BK17" s="74"/>
      <c r="BL17" s="76">
        <f t="shared" si="2"/>
        <v>3.0000000000000249E-2</v>
      </c>
      <c r="BN17" s="102"/>
      <c r="BO17" s="105"/>
      <c r="BP17" s="18" t="s">
        <v>46</v>
      </c>
      <c r="BQ17" s="105"/>
      <c r="BR17" s="20">
        <v>3.4729999999999999</v>
      </c>
      <c r="BS17" s="105"/>
      <c r="BT17" s="105"/>
      <c r="BU17" s="105"/>
      <c r="BV17" s="105"/>
      <c r="BW17" s="110"/>
      <c r="BX17" s="18" t="s">
        <v>46</v>
      </c>
      <c r="BY17" s="105"/>
      <c r="BZ17" s="20">
        <v>3.4319999999999999</v>
      </c>
      <c r="CA17" s="105"/>
      <c r="CB17" s="105"/>
      <c r="CC17" s="105"/>
      <c r="CD17" s="105"/>
      <c r="CE17" s="110"/>
      <c r="CF17" s="74"/>
      <c r="CG17" s="76">
        <f t="shared" si="3"/>
        <v>4.0999999999999925E-2</v>
      </c>
      <c r="CI17" s="102"/>
      <c r="CJ17" s="105"/>
      <c r="CK17" s="18" t="s">
        <v>46</v>
      </c>
      <c r="CL17" s="105"/>
      <c r="CM17" s="20">
        <v>3.6190000000000002</v>
      </c>
      <c r="CN17" s="105"/>
      <c r="CO17" s="105"/>
      <c r="CP17" s="105"/>
      <c r="CQ17" s="105"/>
      <c r="CR17" s="110"/>
      <c r="CS17" s="18" t="s">
        <v>46</v>
      </c>
      <c r="CT17" s="105"/>
      <c r="CU17" s="19"/>
      <c r="CV17" s="105"/>
      <c r="CW17" s="105"/>
      <c r="CX17" s="105"/>
      <c r="CY17" s="105"/>
      <c r="CZ17" s="110"/>
      <c r="DA17" s="74"/>
      <c r="DC17" s="102"/>
      <c r="DD17" s="105"/>
      <c r="DE17" s="18" t="s">
        <v>46</v>
      </c>
      <c r="DF17" s="105"/>
      <c r="DG17" s="20">
        <v>3.7480000000000002</v>
      </c>
      <c r="DH17" s="105"/>
      <c r="DI17" s="105"/>
      <c r="DJ17" s="105"/>
      <c r="DK17" s="105"/>
      <c r="DL17" s="110"/>
      <c r="DM17" s="18" t="s">
        <v>46</v>
      </c>
      <c r="DN17" s="105"/>
      <c r="DO17" s="20">
        <v>3.746</v>
      </c>
      <c r="DP17" s="105"/>
      <c r="DQ17" s="105"/>
      <c r="DR17" s="105"/>
      <c r="DS17" s="105"/>
      <c r="DT17" s="110"/>
      <c r="DV17" s="81">
        <f t="shared" si="4"/>
        <v>-2.0000000000002238E-3</v>
      </c>
    </row>
    <row r="18" spans="1:126" ht="14.25" customHeight="1" x14ac:dyDescent="0.3">
      <c r="A18" s="102"/>
      <c r="B18" s="105"/>
      <c r="C18" s="18" t="s">
        <v>47</v>
      </c>
      <c r="D18" s="105"/>
      <c r="E18" s="70">
        <v>3564</v>
      </c>
      <c r="F18" s="105"/>
      <c r="G18" s="105"/>
      <c r="H18" s="105"/>
      <c r="I18" s="105"/>
      <c r="J18" s="110"/>
      <c r="K18" s="18" t="s">
        <v>47</v>
      </c>
      <c r="L18" s="105"/>
      <c r="M18" s="70">
        <v>3562</v>
      </c>
      <c r="N18" s="105"/>
      <c r="O18" s="105"/>
      <c r="P18" s="105"/>
      <c r="Q18" s="105"/>
      <c r="R18" s="110"/>
      <c r="T18">
        <f t="shared" si="0"/>
        <v>2E-3</v>
      </c>
      <c r="V18" s="117"/>
      <c r="W18" s="102"/>
      <c r="X18" s="105"/>
      <c r="Y18" s="18" t="s">
        <v>47</v>
      </c>
      <c r="Z18" s="105"/>
      <c r="AA18" s="20">
        <v>3.8650000000000002</v>
      </c>
      <c r="AB18" s="105"/>
      <c r="AC18" s="105"/>
      <c r="AD18" s="105"/>
      <c r="AE18" s="105"/>
      <c r="AF18" s="110"/>
      <c r="AG18" s="18" t="s">
        <v>47</v>
      </c>
      <c r="AH18" s="105"/>
      <c r="AI18" s="20">
        <v>3.851</v>
      </c>
      <c r="AJ18" s="105"/>
      <c r="AK18" s="105"/>
      <c r="AL18" s="105"/>
      <c r="AM18" s="105"/>
      <c r="AN18" s="110"/>
      <c r="AO18" s="74"/>
      <c r="AP18" s="76">
        <f t="shared" si="1"/>
        <v>1.4000000000000234E-2</v>
      </c>
      <c r="AQ18" s="74"/>
      <c r="AS18" s="102"/>
      <c r="AT18" s="105"/>
      <c r="AU18" s="18" t="s">
        <v>47</v>
      </c>
      <c r="AV18" s="105"/>
      <c r="AW18" s="20">
        <v>3.6539999999999999</v>
      </c>
      <c r="AX18" s="105"/>
      <c r="AY18" s="105"/>
      <c r="AZ18" s="105"/>
      <c r="BA18" s="105"/>
      <c r="BB18" s="110"/>
      <c r="BC18" s="18" t="s">
        <v>47</v>
      </c>
      <c r="BD18" s="105"/>
      <c r="BE18" s="20">
        <v>3.6349999999999998</v>
      </c>
      <c r="BF18" s="105"/>
      <c r="BG18" s="105"/>
      <c r="BH18" s="105"/>
      <c r="BI18" s="105"/>
      <c r="BJ18" s="110"/>
      <c r="BK18" s="74"/>
      <c r="BL18" s="76">
        <f t="shared" si="2"/>
        <v>1.9000000000000128E-2</v>
      </c>
      <c r="BN18" s="102"/>
      <c r="BO18" s="105"/>
      <c r="BP18" s="18" t="s">
        <v>47</v>
      </c>
      <c r="BQ18" s="105"/>
      <c r="BR18" s="20">
        <v>3.55</v>
      </c>
      <c r="BS18" s="105"/>
      <c r="BT18" s="105"/>
      <c r="BU18" s="105"/>
      <c r="BV18" s="105"/>
      <c r="BW18" s="110"/>
      <c r="BX18" s="18" t="s">
        <v>47</v>
      </c>
      <c r="BY18" s="105"/>
      <c r="BZ18" s="20">
        <v>3.3969999999999998</v>
      </c>
      <c r="CA18" s="105"/>
      <c r="CB18" s="105"/>
      <c r="CC18" s="105"/>
      <c r="CD18" s="105"/>
      <c r="CE18" s="110"/>
      <c r="CF18" s="74"/>
      <c r="CG18" s="76">
        <f t="shared" si="3"/>
        <v>0.15300000000000002</v>
      </c>
      <c r="CI18" s="102"/>
      <c r="CJ18" s="105"/>
      <c r="CK18" s="18" t="s">
        <v>47</v>
      </c>
      <c r="CL18" s="105"/>
      <c r="CM18" s="20">
        <v>3.581</v>
      </c>
      <c r="CN18" s="105"/>
      <c r="CO18" s="105"/>
      <c r="CP18" s="105"/>
      <c r="CQ18" s="105"/>
      <c r="CR18" s="110"/>
      <c r="CS18" s="18" t="s">
        <v>47</v>
      </c>
      <c r="CT18" s="105"/>
      <c r="CU18" s="19"/>
      <c r="CV18" s="105"/>
      <c r="CW18" s="105"/>
      <c r="CX18" s="105"/>
      <c r="CY18" s="105"/>
      <c r="CZ18" s="110"/>
      <c r="DA18" s="74"/>
      <c r="DC18" s="102"/>
      <c r="DD18" s="105"/>
      <c r="DE18" s="18" t="s">
        <v>47</v>
      </c>
      <c r="DF18" s="105"/>
      <c r="DG18" s="20">
        <v>3.7120000000000002</v>
      </c>
      <c r="DH18" s="105"/>
      <c r="DI18" s="105"/>
      <c r="DJ18" s="105"/>
      <c r="DK18" s="105"/>
      <c r="DL18" s="110"/>
      <c r="DM18" s="18" t="s">
        <v>47</v>
      </c>
      <c r="DN18" s="105"/>
      <c r="DO18" s="20">
        <v>3.71</v>
      </c>
      <c r="DP18" s="105"/>
      <c r="DQ18" s="105"/>
      <c r="DR18" s="105"/>
      <c r="DS18" s="105"/>
      <c r="DT18" s="110"/>
      <c r="DV18" s="81">
        <f t="shared" si="4"/>
        <v>-2.0000000000002238E-3</v>
      </c>
    </row>
    <row r="19" spans="1:126" ht="14.25" customHeight="1" x14ac:dyDescent="0.3">
      <c r="A19" s="103"/>
      <c r="B19" s="106"/>
      <c r="C19" s="21" t="s">
        <v>48</v>
      </c>
      <c r="D19" s="106"/>
      <c r="E19" s="71">
        <v>3563</v>
      </c>
      <c r="F19" s="106"/>
      <c r="G19" s="106"/>
      <c r="H19" s="106"/>
      <c r="I19" s="106"/>
      <c r="J19" s="111"/>
      <c r="K19" s="21" t="s">
        <v>48</v>
      </c>
      <c r="L19" s="106"/>
      <c r="M19" s="71">
        <v>3562</v>
      </c>
      <c r="N19" s="106"/>
      <c r="O19" s="106"/>
      <c r="P19" s="106"/>
      <c r="Q19" s="106"/>
      <c r="R19" s="111"/>
      <c r="T19">
        <f t="shared" si="0"/>
        <v>1E-3</v>
      </c>
      <c r="V19" s="117"/>
      <c r="W19" s="103"/>
      <c r="X19" s="106"/>
      <c r="Y19" s="21" t="s">
        <v>48</v>
      </c>
      <c r="Z19" s="106"/>
      <c r="AA19" s="23">
        <v>3.863</v>
      </c>
      <c r="AB19" s="106"/>
      <c r="AC19" s="106"/>
      <c r="AD19" s="106"/>
      <c r="AE19" s="106"/>
      <c r="AF19" s="111"/>
      <c r="AG19" s="21" t="s">
        <v>48</v>
      </c>
      <c r="AH19" s="106"/>
      <c r="AI19" s="23">
        <v>3.85</v>
      </c>
      <c r="AJ19" s="106"/>
      <c r="AK19" s="106"/>
      <c r="AL19" s="106"/>
      <c r="AM19" s="106"/>
      <c r="AN19" s="111"/>
      <c r="AO19" s="74"/>
      <c r="AP19" s="76">
        <f t="shared" si="1"/>
        <v>1.2999999999999901E-2</v>
      </c>
      <c r="AQ19" s="74"/>
      <c r="AS19" s="103"/>
      <c r="AT19" s="106"/>
      <c r="AU19" s="21" t="s">
        <v>48</v>
      </c>
      <c r="AV19" s="106"/>
      <c r="AW19" s="23">
        <v>3.649</v>
      </c>
      <c r="AX19" s="106"/>
      <c r="AY19" s="106"/>
      <c r="AZ19" s="106"/>
      <c r="BA19" s="106"/>
      <c r="BB19" s="111"/>
      <c r="BC19" s="21" t="s">
        <v>48</v>
      </c>
      <c r="BD19" s="106"/>
      <c r="BE19" s="23">
        <v>3.629</v>
      </c>
      <c r="BF19" s="106"/>
      <c r="BG19" s="106"/>
      <c r="BH19" s="106"/>
      <c r="BI19" s="106"/>
      <c r="BJ19" s="111"/>
      <c r="BK19" s="74"/>
      <c r="BL19" s="76">
        <f t="shared" si="2"/>
        <v>2.0000000000000018E-2</v>
      </c>
      <c r="BN19" s="103"/>
      <c r="BO19" s="106"/>
      <c r="BP19" s="21" t="s">
        <v>48</v>
      </c>
      <c r="BQ19" s="106"/>
      <c r="BR19" s="23">
        <v>3.44</v>
      </c>
      <c r="BS19" s="106"/>
      <c r="BT19" s="106"/>
      <c r="BU19" s="106"/>
      <c r="BV19" s="106"/>
      <c r="BW19" s="111"/>
      <c r="BX19" s="21" t="s">
        <v>48</v>
      </c>
      <c r="BY19" s="106"/>
      <c r="BZ19" s="23">
        <v>3.387</v>
      </c>
      <c r="CA19" s="106"/>
      <c r="CB19" s="106"/>
      <c r="CC19" s="106"/>
      <c r="CD19" s="106"/>
      <c r="CE19" s="111"/>
      <c r="CF19" s="74"/>
      <c r="CG19" s="76">
        <f t="shared" si="3"/>
        <v>5.2999999999999936E-2</v>
      </c>
      <c r="CI19" s="103"/>
      <c r="CJ19" s="106"/>
      <c r="CK19" s="21" t="s">
        <v>48</v>
      </c>
      <c r="CL19" s="106"/>
      <c r="CM19" s="23">
        <v>3.5680000000000001</v>
      </c>
      <c r="CN19" s="106"/>
      <c r="CO19" s="106"/>
      <c r="CP19" s="106"/>
      <c r="CQ19" s="106"/>
      <c r="CR19" s="111"/>
      <c r="CS19" s="21" t="s">
        <v>48</v>
      </c>
      <c r="CT19" s="106"/>
      <c r="CU19" s="22"/>
      <c r="CV19" s="106"/>
      <c r="CW19" s="106"/>
      <c r="CX19" s="106"/>
      <c r="CY19" s="106"/>
      <c r="CZ19" s="111"/>
      <c r="DA19" s="74"/>
      <c r="DC19" s="103"/>
      <c r="DD19" s="106"/>
      <c r="DE19" s="21" t="s">
        <v>48</v>
      </c>
      <c r="DF19" s="106"/>
      <c r="DG19" s="23">
        <v>3.7109999999999999</v>
      </c>
      <c r="DH19" s="106"/>
      <c r="DI19" s="106"/>
      <c r="DJ19" s="106"/>
      <c r="DK19" s="106"/>
      <c r="DL19" s="111"/>
      <c r="DM19" s="21" t="s">
        <v>48</v>
      </c>
      <c r="DN19" s="106"/>
      <c r="DO19" s="23">
        <v>3.7090000000000001</v>
      </c>
      <c r="DP19" s="106"/>
      <c r="DQ19" s="106"/>
      <c r="DR19" s="106"/>
      <c r="DS19" s="106"/>
      <c r="DT19" s="111"/>
      <c r="DV19" s="81">
        <f t="shared" si="4"/>
        <v>-1.9999999999997797E-3</v>
      </c>
    </row>
    <row r="20" spans="1:126" ht="14.25" customHeight="1" thickBot="1" x14ac:dyDescent="0.35">
      <c r="A20" s="24"/>
      <c r="B20" s="25"/>
      <c r="C20" s="26"/>
      <c r="D20" s="25"/>
      <c r="E20" s="27"/>
      <c r="F20" s="28"/>
      <c r="G20" s="25"/>
      <c r="H20" s="25"/>
      <c r="I20" s="29"/>
      <c r="J20" s="30"/>
      <c r="K20" s="26"/>
      <c r="L20" s="25"/>
      <c r="M20" s="72"/>
      <c r="N20" s="28"/>
      <c r="O20" s="25"/>
      <c r="P20" s="25"/>
      <c r="Q20" s="29"/>
      <c r="R20" s="30"/>
      <c r="T20">
        <f t="shared" si="0"/>
        <v>0</v>
      </c>
      <c r="V20" s="16"/>
      <c r="W20" s="24"/>
      <c r="X20" s="25"/>
      <c r="Y20" s="26"/>
      <c r="Z20" s="25"/>
      <c r="AA20" s="31">
        <v>50.21</v>
      </c>
      <c r="AB20" s="28"/>
      <c r="AC20" s="25"/>
      <c r="AD20" s="25"/>
      <c r="AE20" s="29"/>
      <c r="AF20" s="30"/>
      <c r="AG20" s="26"/>
      <c r="AH20" s="25"/>
      <c r="AI20" s="27">
        <v>50.1</v>
      </c>
      <c r="AJ20" s="28"/>
      <c r="AK20" s="25"/>
      <c r="AL20" s="25"/>
      <c r="AM20" s="29"/>
      <c r="AN20" s="30"/>
      <c r="AO20" s="16"/>
      <c r="AP20" s="76">
        <f t="shared" si="1"/>
        <v>0.10999999999999943</v>
      </c>
      <c r="AQ20" s="16"/>
      <c r="AS20" s="24"/>
      <c r="AT20" s="25"/>
      <c r="AU20" s="26"/>
      <c r="AV20" s="25"/>
      <c r="AW20" s="27">
        <v>47.4</v>
      </c>
      <c r="AX20" s="28"/>
      <c r="AY20" s="25"/>
      <c r="AZ20" s="25"/>
      <c r="BA20" s="29"/>
      <c r="BB20" s="30"/>
      <c r="BC20" s="26"/>
      <c r="BD20" s="25"/>
      <c r="BE20" s="27">
        <v>47</v>
      </c>
      <c r="BF20" s="28"/>
      <c r="BG20" s="25"/>
      <c r="BH20" s="25"/>
      <c r="BI20" s="29"/>
      <c r="BJ20" s="30"/>
      <c r="BK20" s="16"/>
      <c r="BL20" s="76">
        <f t="shared" si="2"/>
        <v>0.39999999999999858</v>
      </c>
      <c r="BN20" s="24"/>
      <c r="BO20" s="25"/>
      <c r="BP20" s="26"/>
      <c r="BQ20" s="25"/>
      <c r="BR20" s="31">
        <v>44.82</v>
      </c>
      <c r="BS20" s="28"/>
      <c r="BT20" s="25"/>
      <c r="BU20" s="25"/>
      <c r="BV20" s="29"/>
      <c r="BW20" s="30"/>
      <c r="BX20" s="26"/>
      <c r="BY20" s="25"/>
      <c r="BZ20" s="31">
        <v>44.17</v>
      </c>
      <c r="CA20" s="28"/>
      <c r="CB20" s="25"/>
      <c r="CC20" s="25"/>
      <c r="CD20" s="29"/>
      <c r="CE20" s="30"/>
      <c r="CF20" s="16"/>
      <c r="CG20" s="76">
        <f t="shared" si="3"/>
        <v>0.64999999999999858</v>
      </c>
      <c r="CI20" s="24"/>
      <c r="CJ20" s="25"/>
      <c r="CK20" s="26"/>
      <c r="CL20" s="25"/>
      <c r="CM20" s="31">
        <v>46.53</v>
      </c>
      <c r="CN20" s="28"/>
      <c r="CO20" s="25"/>
      <c r="CP20" s="25"/>
      <c r="CQ20" s="29"/>
      <c r="CR20" s="30"/>
      <c r="CS20" s="32"/>
      <c r="CT20" s="25"/>
      <c r="CU20" s="27"/>
      <c r="CV20" s="28"/>
      <c r="CW20" s="25"/>
      <c r="CX20" s="25"/>
      <c r="CY20" s="29"/>
      <c r="CZ20" s="30"/>
      <c r="DA20" s="16"/>
      <c r="DC20" s="24"/>
      <c r="DD20" s="25"/>
      <c r="DE20" s="26"/>
      <c r="DF20" s="25"/>
      <c r="DG20" s="31">
        <v>48.3</v>
      </c>
      <c r="DH20" s="28"/>
      <c r="DI20" s="25"/>
      <c r="DJ20" s="25"/>
      <c r="DK20" s="29"/>
      <c r="DL20" s="30"/>
      <c r="DM20" s="26"/>
      <c r="DN20" s="25"/>
      <c r="DO20" s="31">
        <v>48.26</v>
      </c>
      <c r="DP20" s="28"/>
      <c r="DQ20" s="25"/>
      <c r="DR20" s="25"/>
      <c r="DS20" s="29"/>
      <c r="DT20" s="30"/>
      <c r="DV20" s="81">
        <f t="shared" si="4"/>
        <v>-3.9999999999999147E-2</v>
      </c>
    </row>
    <row r="21" spans="1:126" ht="14.25" customHeight="1" x14ac:dyDescent="0.3">
      <c r="A21" s="101">
        <v>1</v>
      </c>
      <c r="B21" s="104" t="s">
        <v>28</v>
      </c>
      <c r="C21" s="12" t="s">
        <v>29</v>
      </c>
      <c r="D21" s="104">
        <v>35.5</v>
      </c>
      <c r="E21" s="69">
        <v>3539</v>
      </c>
      <c r="F21" s="112">
        <v>0.26</v>
      </c>
      <c r="G21" s="104">
        <v>52</v>
      </c>
      <c r="H21" s="104">
        <v>33</v>
      </c>
      <c r="I21" s="108">
        <v>0.5</v>
      </c>
      <c r="J21" s="109" t="s">
        <v>49</v>
      </c>
      <c r="K21" s="12" t="s">
        <v>29</v>
      </c>
      <c r="L21" s="104">
        <v>36.299999999999997</v>
      </c>
      <c r="M21" s="69">
        <v>3539</v>
      </c>
      <c r="N21" s="112">
        <v>0.25</v>
      </c>
      <c r="O21" s="104">
        <v>55</v>
      </c>
      <c r="P21" s="104">
        <v>33</v>
      </c>
      <c r="Q21" s="108">
        <v>0.5</v>
      </c>
      <c r="R21" s="109" t="s">
        <v>50</v>
      </c>
      <c r="T21">
        <f t="shared" si="0"/>
        <v>0</v>
      </c>
      <c r="V21" s="116"/>
      <c r="W21" s="101">
        <v>1</v>
      </c>
      <c r="X21" s="104" t="s">
        <v>28</v>
      </c>
      <c r="Y21" s="12" t="s">
        <v>29</v>
      </c>
      <c r="Z21" s="104">
        <v>33.299999999999997</v>
      </c>
      <c r="AA21" s="17">
        <v>3.819</v>
      </c>
      <c r="AB21" s="112">
        <v>0.79</v>
      </c>
      <c r="AC21" s="104">
        <v>50</v>
      </c>
      <c r="AD21" s="104">
        <v>29</v>
      </c>
      <c r="AE21" s="108">
        <v>0.5</v>
      </c>
      <c r="AF21" s="109" t="s">
        <v>51</v>
      </c>
      <c r="AG21" s="12" t="s">
        <v>29</v>
      </c>
      <c r="AH21" s="104">
        <v>33.4</v>
      </c>
      <c r="AI21" s="17">
        <v>3.7909999999999999</v>
      </c>
      <c r="AJ21" s="112">
        <v>0.76</v>
      </c>
      <c r="AK21" s="104">
        <v>52</v>
      </c>
      <c r="AL21" s="104">
        <v>28</v>
      </c>
      <c r="AM21" s="108">
        <v>0.5</v>
      </c>
      <c r="AN21" s="109" t="s">
        <v>51</v>
      </c>
      <c r="AO21" s="16"/>
      <c r="AP21" s="76">
        <f t="shared" si="1"/>
        <v>2.8000000000000025E-2</v>
      </c>
      <c r="AQ21" s="16"/>
      <c r="AS21" s="101">
        <v>2</v>
      </c>
      <c r="AT21" s="104" t="s">
        <v>28</v>
      </c>
      <c r="AU21" s="12" t="s">
        <v>29</v>
      </c>
      <c r="AV21" s="124">
        <v>35.700000000000003</v>
      </c>
      <c r="AW21" s="33">
        <v>3.59</v>
      </c>
      <c r="AX21" s="125">
        <v>0.56000000000000005</v>
      </c>
      <c r="AY21" s="124">
        <v>54</v>
      </c>
      <c r="AZ21" s="124">
        <v>28</v>
      </c>
      <c r="BA21" s="138">
        <v>0.5</v>
      </c>
      <c r="BB21" s="145" t="s">
        <v>52</v>
      </c>
      <c r="BC21" s="12" t="s">
        <v>29</v>
      </c>
      <c r="BD21" s="124">
        <v>35.9</v>
      </c>
      <c r="BE21" s="33">
        <v>3.5680000000000001</v>
      </c>
      <c r="BF21" s="125">
        <v>0.51</v>
      </c>
      <c r="BG21" s="124">
        <v>55</v>
      </c>
      <c r="BH21" s="124">
        <v>28</v>
      </c>
      <c r="BI21" s="138">
        <v>0.5</v>
      </c>
      <c r="BJ21" s="145" t="s">
        <v>53</v>
      </c>
      <c r="BK21" s="77"/>
      <c r="BL21" s="76">
        <f t="shared" si="2"/>
        <v>2.1999999999999797E-2</v>
      </c>
      <c r="BN21" s="101">
        <v>2</v>
      </c>
      <c r="BO21" s="104" t="s">
        <v>28</v>
      </c>
      <c r="BP21" s="12" t="s">
        <v>29</v>
      </c>
      <c r="BQ21" s="104">
        <v>33.200000000000003</v>
      </c>
      <c r="BR21" s="17">
        <v>3.9529999999999998</v>
      </c>
      <c r="BS21" s="112">
        <v>0.98</v>
      </c>
      <c r="BT21" s="104">
        <v>42</v>
      </c>
      <c r="BU21" s="104">
        <v>28</v>
      </c>
      <c r="BV21" s="108">
        <v>0.5</v>
      </c>
      <c r="BW21" s="109" t="s">
        <v>54</v>
      </c>
      <c r="BX21" s="12" t="s">
        <v>29</v>
      </c>
      <c r="BY21" s="104">
        <v>37</v>
      </c>
      <c r="BZ21" s="17">
        <v>3.8079999999999998</v>
      </c>
      <c r="CA21" s="112">
        <v>0.88</v>
      </c>
      <c r="CB21" s="104">
        <v>49</v>
      </c>
      <c r="CC21" s="104">
        <v>29</v>
      </c>
      <c r="CD21" s="108">
        <v>0.5</v>
      </c>
      <c r="CE21" s="109" t="s">
        <v>55</v>
      </c>
      <c r="CF21" s="16"/>
      <c r="CG21" s="76">
        <f t="shared" si="3"/>
        <v>0.14500000000000002</v>
      </c>
      <c r="CI21" s="101">
        <v>2</v>
      </c>
      <c r="CJ21" s="104" t="s">
        <v>28</v>
      </c>
      <c r="CK21" s="12" t="s">
        <v>29</v>
      </c>
      <c r="CL21" s="137"/>
      <c r="CM21" s="34"/>
      <c r="CN21" s="139"/>
      <c r="CO21" s="137"/>
      <c r="CP21" s="137"/>
      <c r="CQ21" s="138">
        <v>0.5</v>
      </c>
      <c r="CR21" s="146"/>
      <c r="CS21" s="35" t="s">
        <v>29</v>
      </c>
      <c r="CT21" s="137"/>
      <c r="CU21" s="34"/>
      <c r="CV21" s="139"/>
      <c r="CW21" s="137"/>
      <c r="CX21" s="137"/>
      <c r="CY21" s="138">
        <v>0.5</v>
      </c>
      <c r="CZ21" s="146"/>
      <c r="DA21" s="78"/>
      <c r="DC21" s="101">
        <v>1</v>
      </c>
      <c r="DD21" s="104" t="s">
        <v>28</v>
      </c>
      <c r="DE21" s="12" t="s">
        <v>29</v>
      </c>
      <c r="DF21" s="104">
        <v>35.5</v>
      </c>
      <c r="DG21" s="17">
        <v>3.7080000000000002</v>
      </c>
      <c r="DH21" s="112">
        <v>0.54</v>
      </c>
      <c r="DI21" s="104">
        <v>48</v>
      </c>
      <c r="DJ21" s="104">
        <v>29</v>
      </c>
      <c r="DK21" s="108">
        <v>0.5</v>
      </c>
      <c r="DL21" s="109" t="s">
        <v>56</v>
      </c>
      <c r="DM21" s="12" t="s">
        <v>29</v>
      </c>
      <c r="DN21" s="104">
        <v>35.299999999999997</v>
      </c>
      <c r="DO21" s="17">
        <v>3.7040000000000002</v>
      </c>
      <c r="DP21" s="112">
        <v>0.54</v>
      </c>
      <c r="DQ21" s="104">
        <v>49</v>
      </c>
      <c r="DR21" s="104">
        <v>29</v>
      </c>
      <c r="DS21" s="108">
        <v>0.5</v>
      </c>
      <c r="DT21" s="109" t="s">
        <v>57</v>
      </c>
      <c r="DV21" s="81">
        <f t="shared" si="4"/>
        <v>-4.0000000000000036E-3</v>
      </c>
    </row>
    <row r="22" spans="1:126" ht="14.25" customHeight="1" x14ac:dyDescent="0.3">
      <c r="A22" s="102"/>
      <c r="B22" s="105"/>
      <c r="C22" s="18" t="s">
        <v>37</v>
      </c>
      <c r="D22" s="107"/>
      <c r="E22" s="70">
        <v>3541</v>
      </c>
      <c r="F22" s="105"/>
      <c r="G22" s="105"/>
      <c r="H22" s="105"/>
      <c r="I22" s="105"/>
      <c r="J22" s="110"/>
      <c r="K22" s="18" t="s">
        <v>37</v>
      </c>
      <c r="L22" s="105"/>
      <c r="M22" s="70">
        <v>3540</v>
      </c>
      <c r="N22" s="105"/>
      <c r="O22" s="105"/>
      <c r="P22" s="105"/>
      <c r="Q22" s="105"/>
      <c r="R22" s="110"/>
      <c r="T22">
        <f t="shared" si="0"/>
        <v>1E-3</v>
      </c>
      <c r="V22" s="117"/>
      <c r="W22" s="102"/>
      <c r="X22" s="105"/>
      <c r="Y22" s="18" t="s">
        <v>37</v>
      </c>
      <c r="Z22" s="105"/>
      <c r="AA22" s="20">
        <v>3.8290000000000002</v>
      </c>
      <c r="AB22" s="105"/>
      <c r="AC22" s="105"/>
      <c r="AD22" s="105"/>
      <c r="AE22" s="105"/>
      <c r="AF22" s="110"/>
      <c r="AG22" s="18" t="s">
        <v>37</v>
      </c>
      <c r="AH22" s="105"/>
      <c r="AI22" s="20">
        <v>3.7989999999999999</v>
      </c>
      <c r="AJ22" s="105"/>
      <c r="AK22" s="105"/>
      <c r="AL22" s="105"/>
      <c r="AM22" s="105"/>
      <c r="AN22" s="110"/>
      <c r="AO22" s="74"/>
      <c r="AP22" s="76">
        <f t="shared" si="1"/>
        <v>3.0000000000000249E-2</v>
      </c>
      <c r="AQ22" s="74"/>
      <c r="AS22" s="102"/>
      <c r="AT22" s="105"/>
      <c r="AU22" s="18" t="s">
        <v>37</v>
      </c>
      <c r="AV22" s="105"/>
      <c r="AW22" s="36">
        <v>3.6030000000000002</v>
      </c>
      <c r="AX22" s="105"/>
      <c r="AY22" s="105"/>
      <c r="AZ22" s="105"/>
      <c r="BA22" s="105"/>
      <c r="BB22" s="110"/>
      <c r="BC22" s="18" t="s">
        <v>37</v>
      </c>
      <c r="BD22" s="105"/>
      <c r="BE22" s="36">
        <v>3.5760000000000001</v>
      </c>
      <c r="BF22" s="105"/>
      <c r="BG22" s="105"/>
      <c r="BH22" s="105"/>
      <c r="BI22" s="105"/>
      <c r="BJ22" s="110"/>
      <c r="BK22" s="74"/>
      <c r="BL22" s="76">
        <f t="shared" si="2"/>
        <v>2.7000000000000135E-2</v>
      </c>
      <c r="BN22" s="102"/>
      <c r="BO22" s="105"/>
      <c r="BP22" s="18" t="s">
        <v>37</v>
      </c>
      <c r="BQ22" s="105"/>
      <c r="BR22" s="20">
        <v>3.972</v>
      </c>
      <c r="BS22" s="105"/>
      <c r="BT22" s="105"/>
      <c r="BU22" s="105"/>
      <c r="BV22" s="105"/>
      <c r="BW22" s="110"/>
      <c r="BX22" s="18" t="s">
        <v>37</v>
      </c>
      <c r="BY22" s="105"/>
      <c r="BZ22" s="20">
        <v>3.83</v>
      </c>
      <c r="CA22" s="105"/>
      <c r="CB22" s="105"/>
      <c r="CC22" s="105"/>
      <c r="CD22" s="105"/>
      <c r="CE22" s="110"/>
      <c r="CF22" s="74"/>
      <c r="CG22" s="76">
        <f t="shared" si="3"/>
        <v>0.1419999999999999</v>
      </c>
      <c r="CI22" s="102"/>
      <c r="CJ22" s="105"/>
      <c r="CK22" s="18" t="s">
        <v>37</v>
      </c>
      <c r="CL22" s="105"/>
      <c r="CM22" s="37"/>
      <c r="CN22" s="105"/>
      <c r="CO22" s="105"/>
      <c r="CP22" s="105"/>
      <c r="CQ22" s="105"/>
      <c r="CR22" s="110"/>
      <c r="CS22" s="38" t="s">
        <v>37</v>
      </c>
      <c r="CT22" s="105"/>
      <c r="CU22" s="37"/>
      <c r="CV22" s="105"/>
      <c r="CW22" s="105"/>
      <c r="CX22" s="105"/>
      <c r="CY22" s="105"/>
      <c r="CZ22" s="110"/>
      <c r="DA22" s="74"/>
      <c r="DC22" s="102"/>
      <c r="DD22" s="105"/>
      <c r="DE22" s="18" t="s">
        <v>37</v>
      </c>
      <c r="DF22" s="105"/>
      <c r="DG22" s="20">
        <v>3.7120000000000002</v>
      </c>
      <c r="DH22" s="105"/>
      <c r="DI22" s="105"/>
      <c r="DJ22" s="105"/>
      <c r="DK22" s="105"/>
      <c r="DL22" s="110"/>
      <c r="DM22" s="18" t="s">
        <v>37</v>
      </c>
      <c r="DN22" s="105"/>
      <c r="DO22" s="20">
        <v>3.706</v>
      </c>
      <c r="DP22" s="105"/>
      <c r="DQ22" s="105"/>
      <c r="DR22" s="105"/>
      <c r="DS22" s="105"/>
      <c r="DT22" s="110"/>
      <c r="DV22" s="81">
        <f t="shared" si="4"/>
        <v>-6.0000000000002274E-3</v>
      </c>
    </row>
    <row r="23" spans="1:126" ht="14.25" customHeight="1" x14ac:dyDescent="0.3">
      <c r="A23" s="102"/>
      <c r="B23" s="105"/>
      <c r="C23" s="18" t="s">
        <v>38</v>
      </c>
      <c r="D23" s="107"/>
      <c r="E23" s="70">
        <v>3540</v>
      </c>
      <c r="F23" s="105"/>
      <c r="G23" s="105"/>
      <c r="H23" s="105"/>
      <c r="I23" s="105"/>
      <c r="J23" s="110"/>
      <c r="K23" s="18" t="s">
        <v>38</v>
      </c>
      <c r="L23" s="105"/>
      <c r="M23" s="70">
        <v>3540</v>
      </c>
      <c r="N23" s="105"/>
      <c r="O23" s="105"/>
      <c r="P23" s="105"/>
      <c r="Q23" s="105"/>
      <c r="R23" s="110"/>
      <c r="T23">
        <f t="shared" si="0"/>
        <v>0</v>
      </c>
      <c r="V23" s="117"/>
      <c r="W23" s="102"/>
      <c r="X23" s="105"/>
      <c r="Y23" s="18" t="s">
        <v>38</v>
      </c>
      <c r="Z23" s="105"/>
      <c r="AA23" s="20">
        <v>3.823</v>
      </c>
      <c r="AB23" s="105"/>
      <c r="AC23" s="105"/>
      <c r="AD23" s="105"/>
      <c r="AE23" s="105"/>
      <c r="AF23" s="110"/>
      <c r="AG23" s="18" t="s">
        <v>38</v>
      </c>
      <c r="AH23" s="105"/>
      <c r="AI23" s="20">
        <v>3.7989999999999999</v>
      </c>
      <c r="AJ23" s="105"/>
      <c r="AK23" s="105"/>
      <c r="AL23" s="105"/>
      <c r="AM23" s="105"/>
      <c r="AN23" s="110"/>
      <c r="AO23" s="74"/>
      <c r="AP23" s="76">
        <f t="shared" si="1"/>
        <v>2.4000000000000021E-2</v>
      </c>
      <c r="AQ23" s="74"/>
      <c r="AS23" s="102"/>
      <c r="AT23" s="105"/>
      <c r="AU23" s="18" t="s">
        <v>38</v>
      </c>
      <c r="AV23" s="105"/>
      <c r="AW23" s="36">
        <v>3.5990000000000002</v>
      </c>
      <c r="AX23" s="105"/>
      <c r="AY23" s="105"/>
      <c r="AZ23" s="105"/>
      <c r="BA23" s="105"/>
      <c r="BB23" s="110"/>
      <c r="BC23" s="18" t="s">
        <v>38</v>
      </c>
      <c r="BD23" s="105"/>
      <c r="BE23" s="36">
        <v>3.5760000000000001</v>
      </c>
      <c r="BF23" s="105"/>
      <c r="BG23" s="105"/>
      <c r="BH23" s="105"/>
      <c r="BI23" s="105"/>
      <c r="BJ23" s="110"/>
      <c r="BK23" s="74"/>
      <c r="BL23" s="76">
        <f t="shared" si="2"/>
        <v>2.3000000000000131E-2</v>
      </c>
      <c r="BN23" s="102"/>
      <c r="BO23" s="105"/>
      <c r="BP23" s="18" t="s">
        <v>38</v>
      </c>
      <c r="BQ23" s="105"/>
      <c r="BR23" s="20">
        <v>3.9670000000000001</v>
      </c>
      <c r="BS23" s="105"/>
      <c r="BT23" s="105"/>
      <c r="BU23" s="105"/>
      <c r="BV23" s="105"/>
      <c r="BW23" s="110"/>
      <c r="BX23" s="18" t="s">
        <v>38</v>
      </c>
      <c r="BY23" s="105"/>
      <c r="BZ23" s="20">
        <v>3.8279999999999998</v>
      </c>
      <c r="CA23" s="105"/>
      <c r="CB23" s="105"/>
      <c r="CC23" s="105"/>
      <c r="CD23" s="105"/>
      <c r="CE23" s="110"/>
      <c r="CF23" s="74"/>
      <c r="CG23" s="76">
        <f t="shared" si="3"/>
        <v>0.13900000000000023</v>
      </c>
      <c r="CI23" s="102"/>
      <c r="CJ23" s="105"/>
      <c r="CK23" s="18" t="s">
        <v>38</v>
      </c>
      <c r="CL23" s="105"/>
      <c r="CM23" s="37"/>
      <c r="CN23" s="105"/>
      <c r="CO23" s="105"/>
      <c r="CP23" s="105"/>
      <c r="CQ23" s="105"/>
      <c r="CR23" s="110"/>
      <c r="CS23" s="38" t="s">
        <v>38</v>
      </c>
      <c r="CT23" s="105"/>
      <c r="CU23" s="37"/>
      <c r="CV23" s="105"/>
      <c r="CW23" s="105"/>
      <c r="CX23" s="105"/>
      <c r="CY23" s="105"/>
      <c r="CZ23" s="110"/>
      <c r="DA23" s="74"/>
      <c r="DC23" s="102"/>
      <c r="DD23" s="105"/>
      <c r="DE23" s="18" t="s">
        <v>38</v>
      </c>
      <c r="DF23" s="105"/>
      <c r="DG23" s="20">
        <v>3.71</v>
      </c>
      <c r="DH23" s="105"/>
      <c r="DI23" s="105"/>
      <c r="DJ23" s="105"/>
      <c r="DK23" s="105"/>
      <c r="DL23" s="110"/>
      <c r="DM23" s="18" t="s">
        <v>38</v>
      </c>
      <c r="DN23" s="105"/>
      <c r="DO23" s="20">
        <v>3.7050000000000001</v>
      </c>
      <c r="DP23" s="105"/>
      <c r="DQ23" s="105"/>
      <c r="DR23" s="105"/>
      <c r="DS23" s="105"/>
      <c r="DT23" s="110"/>
      <c r="DV23" s="81">
        <f t="shared" si="4"/>
        <v>-4.9999999999998934E-3</v>
      </c>
    </row>
    <row r="24" spans="1:126" ht="14.25" customHeight="1" x14ac:dyDescent="0.3">
      <c r="A24" s="102"/>
      <c r="B24" s="105"/>
      <c r="C24" s="18" t="s">
        <v>39</v>
      </c>
      <c r="D24" s="107"/>
      <c r="E24" s="70">
        <v>3543</v>
      </c>
      <c r="F24" s="105"/>
      <c r="G24" s="105"/>
      <c r="H24" s="105"/>
      <c r="I24" s="105"/>
      <c r="J24" s="110"/>
      <c r="K24" s="18" t="s">
        <v>39</v>
      </c>
      <c r="L24" s="105"/>
      <c r="M24" s="70">
        <v>3539</v>
      </c>
      <c r="N24" s="105"/>
      <c r="O24" s="105"/>
      <c r="P24" s="105"/>
      <c r="Q24" s="105"/>
      <c r="R24" s="110"/>
      <c r="T24">
        <f t="shared" si="0"/>
        <v>4.0000000000000001E-3</v>
      </c>
      <c r="V24" s="117"/>
      <c r="W24" s="102"/>
      <c r="X24" s="105"/>
      <c r="Y24" s="18" t="s">
        <v>39</v>
      </c>
      <c r="Z24" s="105"/>
      <c r="AA24" s="20">
        <v>3.823</v>
      </c>
      <c r="AB24" s="105"/>
      <c r="AC24" s="105"/>
      <c r="AD24" s="105"/>
      <c r="AE24" s="105"/>
      <c r="AF24" s="110"/>
      <c r="AG24" s="18" t="s">
        <v>39</v>
      </c>
      <c r="AH24" s="105"/>
      <c r="AI24" s="20">
        <v>3.7949999999999999</v>
      </c>
      <c r="AJ24" s="105"/>
      <c r="AK24" s="105"/>
      <c r="AL24" s="105"/>
      <c r="AM24" s="105"/>
      <c r="AN24" s="110"/>
      <c r="AO24" s="74"/>
      <c r="AP24" s="76">
        <f t="shared" si="1"/>
        <v>2.8000000000000025E-2</v>
      </c>
      <c r="AQ24" s="74"/>
      <c r="AS24" s="102"/>
      <c r="AT24" s="105"/>
      <c r="AU24" s="18" t="s">
        <v>39</v>
      </c>
      <c r="AV24" s="105"/>
      <c r="AW24" s="36">
        <v>3.5979999999999999</v>
      </c>
      <c r="AX24" s="105"/>
      <c r="AY24" s="105"/>
      <c r="AZ24" s="105"/>
      <c r="BA24" s="105"/>
      <c r="BB24" s="110"/>
      <c r="BC24" s="18" t="s">
        <v>39</v>
      </c>
      <c r="BD24" s="105"/>
      <c r="BE24" s="36">
        <v>3.5760000000000001</v>
      </c>
      <c r="BF24" s="105"/>
      <c r="BG24" s="105"/>
      <c r="BH24" s="105"/>
      <c r="BI24" s="105"/>
      <c r="BJ24" s="110"/>
      <c r="BK24" s="74"/>
      <c r="BL24" s="76">
        <f t="shared" si="2"/>
        <v>2.1999999999999797E-2</v>
      </c>
      <c r="BN24" s="102"/>
      <c r="BO24" s="105"/>
      <c r="BP24" s="18" t="s">
        <v>39</v>
      </c>
      <c r="BQ24" s="105"/>
      <c r="BR24" s="20">
        <v>3.964</v>
      </c>
      <c r="BS24" s="105"/>
      <c r="BT24" s="105"/>
      <c r="BU24" s="105"/>
      <c r="BV24" s="105"/>
      <c r="BW24" s="110"/>
      <c r="BX24" s="18" t="s">
        <v>39</v>
      </c>
      <c r="BY24" s="105"/>
      <c r="BZ24" s="20">
        <v>3.82</v>
      </c>
      <c r="CA24" s="105"/>
      <c r="CB24" s="105"/>
      <c r="CC24" s="105"/>
      <c r="CD24" s="105"/>
      <c r="CE24" s="110"/>
      <c r="CF24" s="74"/>
      <c r="CG24" s="76">
        <f t="shared" si="3"/>
        <v>0.14400000000000013</v>
      </c>
      <c r="CI24" s="102"/>
      <c r="CJ24" s="105"/>
      <c r="CK24" s="18" t="s">
        <v>39</v>
      </c>
      <c r="CL24" s="105"/>
      <c r="CM24" s="37"/>
      <c r="CN24" s="105"/>
      <c r="CO24" s="105"/>
      <c r="CP24" s="105"/>
      <c r="CQ24" s="105"/>
      <c r="CR24" s="110"/>
      <c r="CS24" s="38" t="s">
        <v>39</v>
      </c>
      <c r="CT24" s="105"/>
      <c r="CU24" s="37"/>
      <c r="CV24" s="105"/>
      <c r="CW24" s="105"/>
      <c r="CX24" s="105"/>
      <c r="CY24" s="105"/>
      <c r="CZ24" s="110"/>
      <c r="DA24" s="74"/>
      <c r="DC24" s="102"/>
      <c r="DD24" s="105"/>
      <c r="DE24" s="18" t="s">
        <v>39</v>
      </c>
      <c r="DF24" s="105"/>
      <c r="DG24" s="20">
        <v>3.7090000000000001</v>
      </c>
      <c r="DH24" s="105"/>
      <c r="DI24" s="105"/>
      <c r="DJ24" s="105"/>
      <c r="DK24" s="105"/>
      <c r="DL24" s="110"/>
      <c r="DM24" s="18" t="s">
        <v>39</v>
      </c>
      <c r="DN24" s="105"/>
      <c r="DO24" s="20">
        <v>3.7040000000000002</v>
      </c>
      <c r="DP24" s="105"/>
      <c r="DQ24" s="105"/>
      <c r="DR24" s="105"/>
      <c r="DS24" s="105"/>
      <c r="DT24" s="110"/>
      <c r="DV24" s="81">
        <f t="shared" si="4"/>
        <v>-4.9999999999998934E-3</v>
      </c>
    </row>
    <row r="25" spans="1:126" ht="14.25" customHeight="1" x14ac:dyDescent="0.3">
      <c r="A25" s="102"/>
      <c r="B25" s="105"/>
      <c r="C25" s="18" t="s">
        <v>40</v>
      </c>
      <c r="D25" s="107"/>
      <c r="E25" s="70">
        <v>3539</v>
      </c>
      <c r="F25" s="105"/>
      <c r="G25" s="105"/>
      <c r="H25" s="105"/>
      <c r="I25" s="105"/>
      <c r="J25" s="110"/>
      <c r="K25" s="18" t="s">
        <v>40</v>
      </c>
      <c r="L25" s="105"/>
      <c r="M25" s="70">
        <v>3538</v>
      </c>
      <c r="N25" s="105"/>
      <c r="O25" s="105"/>
      <c r="P25" s="105"/>
      <c r="Q25" s="105"/>
      <c r="R25" s="110"/>
      <c r="T25">
        <f t="shared" si="0"/>
        <v>1E-3</v>
      </c>
      <c r="V25" s="117"/>
      <c r="W25" s="102"/>
      <c r="X25" s="105"/>
      <c r="Y25" s="18" t="s">
        <v>40</v>
      </c>
      <c r="Z25" s="105"/>
      <c r="AA25" s="20">
        <v>3.8220000000000001</v>
      </c>
      <c r="AB25" s="105"/>
      <c r="AC25" s="105"/>
      <c r="AD25" s="105"/>
      <c r="AE25" s="105"/>
      <c r="AF25" s="110"/>
      <c r="AG25" s="18" t="s">
        <v>40</v>
      </c>
      <c r="AH25" s="105"/>
      <c r="AI25" s="20">
        <v>3.7949999999999999</v>
      </c>
      <c r="AJ25" s="105"/>
      <c r="AK25" s="105"/>
      <c r="AL25" s="105"/>
      <c r="AM25" s="105"/>
      <c r="AN25" s="110"/>
      <c r="AO25" s="74"/>
      <c r="AP25" s="76">
        <f t="shared" si="1"/>
        <v>2.7000000000000135E-2</v>
      </c>
      <c r="AQ25" s="74"/>
      <c r="AS25" s="102"/>
      <c r="AT25" s="105"/>
      <c r="AU25" s="18" t="s">
        <v>40</v>
      </c>
      <c r="AV25" s="105"/>
      <c r="AW25" s="36">
        <v>3.601</v>
      </c>
      <c r="AX25" s="105"/>
      <c r="AY25" s="105"/>
      <c r="AZ25" s="105"/>
      <c r="BA25" s="105"/>
      <c r="BB25" s="110"/>
      <c r="BC25" s="18" t="s">
        <v>40</v>
      </c>
      <c r="BD25" s="105"/>
      <c r="BE25" s="36">
        <v>3.5739999999999998</v>
      </c>
      <c r="BF25" s="105"/>
      <c r="BG25" s="105"/>
      <c r="BH25" s="105"/>
      <c r="BI25" s="105"/>
      <c r="BJ25" s="110"/>
      <c r="BK25" s="74"/>
      <c r="BL25" s="76">
        <f t="shared" si="2"/>
        <v>2.7000000000000135E-2</v>
      </c>
      <c r="BN25" s="102"/>
      <c r="BO25" s="105"/>
      <c r="BP25" s="18" t="s">
        <v>40</v>
      </c>
      <c r="BQ25" s="105"/>
      <c r="BR25" s="20">
        <v>3.964</v>
      </c>
      <c r="BS25" s="105"/>
      <c r="BT25" s="105"/>
      <c r="BU25" s="105"/>
      <c r="BV25" s="105"/>
      <c r="BW25" s="110"/>
      <c r="BX25" s="18" t="s">
        <v>40</v>
      </c>
      <c r="BY25" s="105"/>
      <c r="BZ25" s="20">
        <v>3.8220000000000001</v>
      </c>
      <c r="CA25" s="105"/>
      <c r="CB25" s="105"/>
      <c r="CC25" s="105"/>
      <c r="CD25" s="105"/>
      <c r="CE25" s="110"/>
      <c r="CF25" s="74"/>
      <c r="CG25" s="76">
        <f t="shared" si="3"/>
        <v>0.1419999999999999</v>
      </c>
      <c r="CI25" s="102"/>
      <c r="CJ25" s="105"/>
      <c r="CK25" s="18" t="s">
        <v>40</v>
      </c>
      <c r="CL25" s="105"/>
      <c r="CM25" s="37"/>
      <c r="CN25" s="105"/>
      <c r="CO25" s="105"/>
      <c r="CP25" s="105"/>
      <c r="CQ25" s="105"/>
      <c r="CR25" s="110"/>
      <c r="CS25" s="38" t="s">
        <v>40</v>
      </c>
      <c r="CT25" s="105"/>
      <c r="CU25" s="37"/>
      <c r="CV25" s="105"/>
      <c r="CW25" s="105"/>
      <c r="CX25" s="105"/>
      <c r="CY25" s="105"/>
      <c r="CZ25" s="110"/>
      <c r="DA25" s="74"/>
      <c r="DC25" s="102"/>
      <c r="DD25" s="105"/>
      <c r="DE25" s="18" t="s">
        <v>40</v>
      </c>
      <c r="DF25" s="105"/>
      <c r="DG25" s="20">
        <v>3.706</v>
      </c>
      <c r="DH25" s="105"/>
      <c r="DI25" s="105"/>
      <c r="DJ25" s="105"/>
      <c r="DK25" s="105"/>
      <c r="DL25" s="110"/>
      <c r="DM25" s="18" t="s">
        <v>40</v>
      </c>
      <c r="DN25" s="105"/>
      <c r="DO25" s="20">
        <v>3.7050000000000001</v>
      </c>
      <c r="DP25" s="105"/>
      <c r="DQ25" s="105"/>
      <c r="DR25" s="105"/>
      <c r="DS25" s="105"/>
      <c r="DT25" s="110"/>
      <c r="DV25" s="81">
        <f t="shared" si="4"/>
        <v>-9.9999999999988987E-4</v>
      </c>
    </row>
    <row r="26" spans="1:126" ht="14.25" customHeight="1" x14ac:dyDescent="0.3">
      <c r="A26" s="102"/>
      <c r="B26" s="105"/>
      <c r="C26" s="18" t="s">
        <v>41</v>
      </c>
      <c r="D26" s="107"/>
      <c r="E26" s="70">
        <v>3538</v>
      </c>
      <c r="F26" s="105"/>
      <c r="G26" s="105"/>
      <c r="H26" s="105"/>
      <c r="I26" s="105"/>
      <c r="J26" s="110"/>
      <c r="K26" s="18" t="s">
        <v>41</v>
      </c>
      <c r="L26" s="105"/>
      <c r="M26" s="70">
        <v>3538</v>
      </c>
      <c r="N26" s="105"/>
      <c r="O26" s="105"/>
      <c r="P26" s="105"/>
      <c r="Q26" s="105"/>
      <c r="R26" s="110"/>
      <c r="S26">
        <f>L21-D21</f>
        <v>0.79999999999999716</v>
      </c>
      <c r="T26">
        <f t="shared" si="0"/>
        <v>0</v>
      </c>
      <c r="V26" s="117"/>
      <c r="W26" s="102"/>
      <c r="X26" s="105"/>
      <c r="Y26" s="18" t="s">
        <v>41</v>
      </c>
      <c r="Z26" s="105"/>
      <c r="AA26" s="20">
        <v>3.8159999999999998</v>
      </c>
      <c r="AB26" s="105"/>
      <c r="AC26" s="105"/>
      <c r="AD26" s="105"/>
      <c r="AE26" s="105"/>
      <c r="AF26" s="110"/>
      <c r="AG26" s="18" t="s">
        <v>41</v>
      </c>
      <c r="AH26" s="105"/>
      <c r="AI26" s="20">
        <v>3.79</v>
      </c>
      <c r="AJ26" s="105"/>
      <c r="AK26" s="105"/>
      <c r="AL26" s="105"/>
      <c r="AM26" s="105"/>
      <c r="AN26" s="110"/>
      <c r="AO26" s="74"/>
      <c r="AP26" s="76">
        <f t="shared" si="1"/>
        <v>2.5999999999999801E-2</v>
      </c>
      <c r="AQ26" s="74"/>
      <c r="AS26" s="102"/>
      <c r="AT26" s="105"/>
      <c r="AU26" s="18" t="s">
        <v>41</v>
      </c>
      <c r="AV26" s="105"/>
      <c r="AW26" s="36">
        <v>3.5870000000000002</v>
      </c>
      <c r="AX26" s="105"/>
      <c r="AY26" s="105"/>
      <c r="AZ26" s="105"/>
      <c r="BA26" s="105"/>
      <c r="BB26" s="110"/>
      <c r="BC26" s="18" t="s">
        <v>41</v>
      </c>
      <c r="BD26" s="105"/>
      <c r="BE26" s="36">
        <v>3.5640000000000001</v>
      </c>
      <c r="BF26" s="105"/>
      <c r="BG26" s="105"/>
      <c r="BH26" s="105"/>
      <c r="BI26" s="105"/>
      <c r="BJ26" s="110"/>
      <c r="BK26" s="74"/>
      <c r="BL26" s="76">
        <f t="shared" si="2"/>
        <v>2.3000000000000131E-2</v>
      </c>
      <c r="BN26" s="102"/>
      <c r="BO26" s="105"/>
      <c r="BP26" s="18" t="s">
        <v>41</v>
      </c>
      <c r="BQ26" s="105"/>
      <c r="BR26" s="20">
        <v>3.948</v>
      </c>
      <c r="BS26" s="105"/>
      <c r="BT26" s="105"/>
      <c r="BU26" s="105"/>
      <c r="BV26" s="105"/>
      <c r="BW26" s="110"/>
      <c r="BX26" s="18" t="s">
        <v>41</v>
      </c>
      <c r="BY26" s="105"/>
      <c r="BZ26" s="20">
        <v>3.8010000000000002</v>
      </c>
      <c r="CA26" s="105"/>
      <c r="CB26" s="105"/>
      <c r="CC26" s="105"/>
      <c r="CD26" s="105"/>
      <c r="CE26" s="110"/>
      <c r="CF26" s="74"/>
      <c r="CG26" s="76">
        <f t="shared" si="3"/>
        <v>0.1469999999999998</v>
      </c>
      <c r="CI26" s="102"/>
      <c r="CJ26" s="105"/>
      <c r="CK26" s="18" t="s">
        <v>41</v>
      </c>
      <c r="CL26" s="105"/>
      <c r="CM26" s="37"/>
      <c r="CN26" s="105"/>
      <c r="CO26" s="105"/>
      <c r="CP26" s="105"/>
      <c r="CQ26" s="105"/>
      <c r="CR26" s="110"/>
      <c r="CS26" s="38" t="s">
        <v>41</v>
      </c>
      <c r="CT26" s="105"/>
      <c r="CU26" s="37"/>
      <c r="CV26" s="105"/>
      <c r="CW26" s="105"/>
      <c r="CX26" s="105"/>
      <c r="CY26" s="105"/>
      <c r="CZ26" s="110"/>
      <c r="DA26" s="74"/>
      <c r="DC26" s="102"/>
      <c r="DD26" s="105"/>
      <c r="DE26" s="18" t="s">
        <v>41</v>
      </c>
      <c r="DF26" s="105"/>
      <c r="DG26" s="20">
        <v>3.706</v>
      </c>
      <c r="DH26" s="105"/>
      <c r="DI26" s="105"/>
      <c r="DJ26" s="105"/>
      <c r="DK26" s="105"/>
      <c r="DL26" s="110"/>
      <c r="DM26" s="18" t="s">
        <v>41</v>
      </c>
      <c r="DN26" s="105"/>
      <c r="DO26" s="20">
        <v>3.7</v>
      </c>
      <c r="DP26" s="105"/>
      <c r="DQ26" s="105"/>
      <c r="DR26" s="105"/>
      <c r="DS26" s="105"/>
      <c r="DT26" s="110"/>
      <c r="DV26" s="81">
        <f t="shared" si="4"/>
        <v>-5.9999999999997833E-3</v>
      </c>
    </row>
    <row r="27" spans="1:126" ht="14.25" customHeight="1" x14ac:dyDescent="0.3">
      <c r="A27" s="102"/>
      <c r="B27" s="105"/>
      <c r="C27" s="18" t="s">
        <v>42</v>
      </c>
      <c r="D27" s="107"/>
      <c r="E27" s="70">
        <v>3541</v>
      </c>
      <c r="F27" s="105"/>
      <c r="G27" s="105"/>
      <c r="H27" s="105"/>
      <c r="I27" s="105"/>
      <c r="J27" s="110"/>
      <c r="K27" s="18" t="s">
        <v>42</v>
      </c>
      <c r="L27" s="105"/>
      <c r="M27" s="70">
        <v>3540</v>
      </c>
      <c r="N27" s="105"/>
      <c r="O27" s="105"/>
      <c r="P27" s="105"/>
      <c r="Q27" s="105"/>
      <c r="R27" s="110"/>
      <c r="T27">
        <f t="shared" si="0"/>
        <v>1E-3</v>
      </c>
      <c r="V27" s="117"/>
      <c r="W27" s="102"/>
      <c r="X27" s="105"/>
      <c r="Y27" s="18" t="s">
        <v>42</v>
      </c>
      <c r="Z27" s="105"/>
      <c r="AA27" s="20">
        <v>3.8290000000000002</v>
      </c>
      <c r="AB27" s="105"/>
      <c r="AC27" s="105"/>
      <c r="AD27" s="105"/>
      <c r="AE27" s="105"/>
      <c r="AF27" s="110"/>
      <c r="AG27" s="18" t="s">
        <v>42</v>
      </c>
      <c r="AH27" s="105"/>
      <c r="AI27" s="20">
        <v>3.8</v>
      </c>
      <c r="AJ27" s="105"/>
      <c r="AK27" s="105"/>
      <c r="AL27" s="105"/>
      <c r="AM27" s="105"/>
      <c r="AN27" s="110"/>
      <c r="AO27" s="74">
        <f>AH21-Z21</f>
        <v>0.10000000000000142</v>
      </c>
      <c r="AP27" s="76">
        <f t="shared" si="1"/>
        <v>2.9000000000000359E-2</v>
      </c>
      <c r="AQ27" s="74"/>
      <c r="AS27" s="102"/>
      <c r="AT27" s="105"/>
      <c r="AU27" s="18" t="s">
        <v>42</v>
      </c>
      <c r="AV27" s="105"/>
      <c r="AW27" s="36">
        <v>3.6019999999999999</v>
      </c>
      <c r="AX27" s="105"/>
      <c r="AY27" s="105"/>
      <c r="AZ27" s="105"/>
      <c r="BA27" s="105"/>
      <c r="BB27" s="110"/>
      <c r="BC27" s="18" t="s">
        <v>42</v>
      </c>
      <c r="BD27" s="105"/>
      <c r="BE27" s="36">
        <v>3.5779999999999998</v>
      </c>
      <c r="BF27" s="105"/>
      <c r="BG27" s="105"/>
      <c r="BH27" s="105"/>
      <c r="BI27" s="105"/>
      <c r="BJ27" s="110"/>
      <c r="BK27" s="74">
        <f>BD21-AV21</f>
        <v>0.19999999999999574</v>
      </c>
      <c r="BL27" s="76">
        <f t="shared" si="2"/>
        <v>2.4000000000000021E-2</v>
      </c>
      <c r="BN27" s="102"/>
      <c r="BO27" s="105"/>
      <c r="BP27" s="18" t="s">
        <v>42</v>
      </c>
      <c r="BQ27" s="105"/>
      <c r="BR27" s="20">
        <v>3.972</v>
      </c>
      <c r="BS27" s="105"/>
      <c r="BT27" s="105"/>
      <c r="BU27" s="105"/>
      <c r="BV27" s="105"/>
      <c r="BW27" s="110"/>
      <c r="BX27" s="18" t="s">
        <v>42</v>
      </c>
      <c r="BY27" s="105"/>
      <c r="BZ27" s="20">
        <v>3.8330000000000002</v>
      </c>
      <c r="CA27" s="105"/>
      <c r="CB27" s="105"/>
      <c r="CC27" s="105"/>
      <c r="CD27" s="105"/>
      <c r="CE27" s="110"/>
      <c r="CF27" s="74">
        <f>BY21-BQ21</f>
        <v>3.7999999999999972</v>
      </c>
      <c r="CG27" s="76">
        <f t="shared" si="3"/>
        <v>0.13899999999999979</v>
      </c>
      <c r="CI27" s="102"/>
      <c r="CJ27" s="105"/>
      <c r="CK27" s="18" t="s">
        <v>42</v>
      </c>
      <c r="CL27" s="105"/>
      <c r="CM27" s="37"/>
      <c r="CN27" s="105"/>
      <c r="CO27" s="105"/>
      <c r="CP27" s="105"/>
      <c r="CQ27" s="105"/>
      <c r="CR27" s="110"/>
      <c r="CS27" s="38" t="s">
        <v>42</v>
      </c>
      <c r="CT27" s="105"/>
      <c r="CU27" s="37"/>
      <c r="CV27" s="105"/>
      <c r="CW27" s="105"/>
      <c r="CX27" s="105"/>
      <c r="CY27" s="105"/>
      <c r="CZ27" s="110"/>
      <c r="DA27" s="74"/>
      <c r="DC27" s="102"/>
      <c r="DD27" s="105"/>
      <c r="DE27" s="18" t="s">
        <v>42</v>
      </c>
      <c r="DF27" s="105"/>
      <c r="DG27" s="20">
        <v>3.7090000000000001</v>
      </c>
      <c r="DH27" s="105"/>
      <c r="DI27" s="105"/>
      <c r="DJ27" s="105"/>
      <c r="DK27" s="105"/>
      <c r="DL27" s="110"/>
      <c r="DM27" s="18" t="s">
        <v>42</v>
      </c>
      <c r="DN27" s="105"/>
      <c r="DO27" s="20">
        <v>3.7029999999999998</v>
      </c>
      <c r="DP27" s="105"/>
      <c r="DQ27" s="105"/>
      <c r="DR27" s="105"/>
      <c r="DS27" s="105"/>
      <c r="DT27" s="110"/>
      <c r="DV27" s="81">
        <f t="shared" si="4"/>
        <v>-6.0000000000002274E-3</v>
      </c>
    </row>
    <row r="28" spans="1:126" ht="14.25" customHeight="1" x14ac:dyDescent="0.3">
      <c r="A28" s="102"/>
      <c r="B28" s="105"/>
      <c r="C28" s="18" t="s">
        <v>43</v>
      </c>
      <c r="D28" s="107"/>
      <c r="E28" s="70">
        <v>3540</v>
      </c>
      <c r="F28" s="105"/>
      <c r="G28" s="105"/>
      <c r="H28" s="105"/>
      <c r="I28" s="105"/>
      <c r="J28" s="110"/>
      <c r="K28" s="18" t="s">
        <v>43</v>
      </c>
      <c r="L28" s="105"/>
      <c r="M28" s="70">
        <v>3540</v>
      </c>
      <c r="N28" s="105"/>
      <c r="O28" s="105"/>
      <c r="P28" s="105"/>
      <c r="Q28" s="105"/>
      <c r="R28" s="110"/>
      <c r="T28">
        <f t="shared" si="0"/>
        <v>0</v>
      </c>
      <c r="V28" s="117"/>
      <c r="W28" s="102"/>
      <c r="X28" s="105"/>
      <c r="Y28" s="18" t="s">
        <v>43</v>
      </c>
      <c r="Z28" s="105"/>
      <c r="AA28" s="20">
        <v>3.82</v>
      </c>
      <c r="AB28" s="105"/>
      <c r="AC28" s="105"/>
      <c r="AD28" s="105"/>
      <c r="AE28" s="105"/>
      <c r="AF28" s="110"/>
      <c r="AG28" s="18" t="s">
        <v>43</v>
      </c>
      <c r="AH28" s="105"/>
      <c r="AI28" s="20">
        <v>3.7959999999999998</v>
      </c>
      <c r="AJ28" s="105"/>
      <c r="AK28" s="105"/>
      <c r="AL28" s="105"/>
      <c r="AM28" s="105"/>
      <c r="AN28" s="110"/>
      <c r="AO28" s="74"/>
      <c r="AP28" s="76">
        <f t="shared" si="1"/>
        <v>2.4000000000000021E-2</v>
      </c>
      <c r="AQ28" s="74"/>
      <c r="AS28" s="102"/>
      <c r="AT28" s="105"/>
      <c r="AU28" s="18" t="s">
        <v>43</v>
      </c>
      <c r="AV28" s="105"/>
      <c r="AW28" s="36">
        <v>3.597</v>
      </c>
      <c r="AX28" s="105"/>
      <c r="AY28" s="105"/>
      <c r="AZ28" s="105"/>
      <c r="BA28" s="105"/>
      <c r="BB28" s="110"/>
      <c r="BC28" s="18" t="s">
        <v>43</v>
      </c>
      <c r="BD28" s="105"/>
      <c r="BE28" s="36">
        <v>3.5760000000000001</v>
      </c>
      <c r="BF28" s="105"/>
      <c r="BG28" s="105"/>
      <c r="BH28" s="105"/>
      <c r="BI28" s="105"/>
      <c r="BJ28" s="110"/>
      <c r="BK28" s="74"/>
      <c r="BL28" s="76">
        <f t="shared" si="2"/>
        <v>2.0999999999999908E-2</v>
      </c>
      <c r="BN28" s="102"/>
      <c r="BO28" s="105"/>
      <c r="BP28" s="18" t="s">
        <v>43</v>
      </c>
      <c r="BQ28" s="105"/>
      <c r="BR28" s="20">
        <v>3.9660000000000002</v>
      </c>
      <c r="BS28" s="105"/>
      <c r="BT28" s="105"/>
      <c r="BU28" s="105"/>
      <c r="BV28" s="105"/>
      <c r="BW28" s="110"/>
      <c r="BX28" s="18" t="s">
        <v>43</v>
      </c>
      <c r="BY28" s="105"/>
      <c r="BZ28" s="20">
        <v>3.8220000000000001</v>
      </c>
      <c r="CA28" s="105"/>
      <c r="CB28" s="105"/>
      <c r="CC28" s="105"/>
      <c r="CD28" s="105"/>
      <c r="CE28" s="110"/>
      <c r="CF28" s="74"/>
      <c r="CG28" s="76">
        <f t="shared" si="3"/>
        <v>0.14400000000000013</v>
      </c>
      <c r="CI28" s="102"/>
      <c r="CJ28" s="105"/>
      <c r="CK28" s="18" t="s">
        <v>43</v>
      </c>
      <c r="CL28" s="105"/>
      <c r="CM28" s="37"/>
      <c r="CN28" s="105"/>
      <c r="CO28" s="105"/>
      <c r="CP28" s="105"/>
      <c r="CQ28" s="105"/>
      <c r="CR28" s="110"/>
      <c r="CS28" s="38" t="s">
        <v>43</v>
      </c>
      <c r="CT28" s="105"/>
      <c r="CU28" s="37"/>
      <c r="CV28" s="105"/>
      <c r="CW28" s="105"/>
      <c r="CX28" s="105"/>
      <c r="CY28" s="105"/>
      <c r="CZ28" s="110"/>
      <c r="DA28" s="74"/>
      <c r="DC28" s="102"/>
      <c r="DD28" s="105"/>
      <c r="DE28" s="18" t="s">
        <v>43</v>
      </c>
      <c r="DF28" s="105"/>
      <c r="DG28" s="20">
        <v>3</v>
      </c>
      <c r="DH28" s="105"/>
      <c r="DI28" s="105"/>
      <c r="DJ28" s="105"/>
      <c r="DK28" s="105"/>
      <c r="DL28" s="110"/>
      <c r="DM28" s="18" t="s">
        <v>43</v>
      </c>
      <c r="DN28" s="105"/>
      <c r="DO28" s="20">
        <v>3.7029999999999998</v>
      </c>
      <c r="DP28" s="105"/>
      <c r="DQ28" s="105"/>
      <c r="DR28" s="105"/>
      <c r="DS28" s="105"/>
      <c r="DT28" s="110"/>
      <c r="DV28" s="81">
        <f t="shared" si="4"/>
        <v>0.70299999999999985</v>
      </c>
    </row>
    <row r="29" spans="1:126" ht="14.25" customHeight="1" x14ac:dyDescent="0.3">
      <c r="A29" s="102"/>
      <c r="B29" s="105"/>
      <c r="C29" s="18" t="s">
        <v>44</v>
      </c>
      <c r="D29" s="107"/>
      <c r="E29" s="70">
        <v>3540</v>
      </c>
      <c r="F29" s="105"/>
      <c r="G29" s="105"/>
      <c r="H29" s="105"/>
      <c r="I29" s="105"/>
      <c r="J29" s="110"/>
      <c r="K29" s="18" t="s">
        <v>44</v>
      </c>
      <c r="L29" s="105"/>
      <c r="M29" s="70">
        <v>3540</v>
      </c>
      <c r="N29" s="105"/>
      <c r="O29" s="105"/>
      <c r="P29" s="105"/>
      <c r="Q29" s="105"/>
      <c r="R29" s="110"/>
      <c r="T29">
        <f t="shared" si="0"/>
        <v>0</v>
      </c>
      <c r="V29" s="117"/>
      <c r="W29" s="102"/>
      <c r="X29" s="105"/>
      <c r="Y29" s="18" t="s">
        <v>44</v>
      </c>
      <c r="Z29" s="105"/>
      <c r="AA29" s="20">
        <v>3.8239999999999998</v>
      </c>
      <c r="AB29" s="105"/>
      <c r="AC29" s="105"/>
      <c r="AD29" s="105"/>
      <c r="AE29" s="105"/>
      <c r="AF29" s="110"/>
      <c r="AG29" s="18" t="s">
        <v>44</v>
      </c>
      <c r="AH29" s="105"/>
      <c r="AI29" s="20">
        <v>3.7959999999999998</v>
      </c>
      <c r="AJ29" s="105"/>
      <c r="AK29" s="105"/>
      <c r="AL29" s="105"/>
      <c r="AM29" s="105"/>
      <c r="AN29" s="110"/>
      <c r="AO29" s="74"/>
      <c r="AP29" s="76">
        <f t="shared" si="1"/>
        <v>2.8000000000000025E-2</v>
      </c>
      <c r="AQ29" s="74"/>
      <c r="AS29" s="102"/>
      <c r="AT29" s="105"/>
      <c r="AU29" s="18" t="s">
        <v>44</v>
      </c>
      <c r="AV29" s="105"/>
      <c r="AW29" s="36">
        <v>3.597</v>
      </c>
      <c r="AX29" s="105"/>
      <c r="AY29" s="105"/>
      <c r="AZ29" s="105"/>
      <c r="BA29" s="105"/>
      <c r="BB29" s="110"/>
      <c r="BC29" s="18" t="s">
        <v>44</v>
      </c>
      <c r="BD29" s="105"/>
      <c r="BE29" s="36">
        <v>3.5760000000000001</v>
      </c>
      <c r="BF29" s="105"/>
      <c r="BG29" s="105"/>
      <c r="BH29" s="105"/>
      <c r="BI29" s="105"/>
      <c r="BJ29" s="110"/>
      <c r="BK29" s="74"/>
      <c r="BL29" s="76">
        <f t="shared" si="2"/>
        <v>2.0999999999999908E-2</v>
      </c>
      <c r="BN29" s="102"/>
      <c r="BO29" s="105"/>
      <c r="BP29" s="18" t="s">
        <v>44</v>
      </c>
      <c r="BQ29" s="105"/>
      <c r="BR29" s="20">
        <v>3.9670000000000001</v>
      </c>
      <c r="BS29" s="105"/>
      <c r="BT29" s="105"/>
      <c r="BU29" s="105"/>
      <c r="BV29" s="105"/>
      <c r="BW29" s="110"/>
      <c r="BX29" s="18" t="s">
        <v>44</v>
      </c>
      <c r="BY29" s="105"/>
      <c r="BZ29" s="20">
        <v>3.8239999999999998</v>
      </c>
      <c r="CA29" s="105"/>
      <c r="CB29" s="105"/>
      <c r="CC29" s="105"/>
      <c r="CD29" s="105"/>
      <c r="CE29" s="110"/>
      <c r="CF29" s="74"/>
      <c r="CG29" s="76">
        <f t="shared" si="3"/>
        <v>0.14300000000000024</v>
      </c>
      <c r="CI29" s="102"/>
      <c r="CJ29" s="105"/>
      <c r="CK29" s="18" t="s">
        <v>44</v>
      </c>
      <c r="CL29" s="105"/>
      <c r="CM29" s="37"/>
      <c r="CN29" s="105"/>
      <c r="CO29" s="105"/>
      <c r="CP29" s="105"/>
      <c r="CQ29" s="105"/>
      <c r="CR29" s="110"/>
      <c r="CS29" s="38" t="s">
        <v>44</v>
      </c>
      <c r="CT29" s="105"/>
      <c r="CU29" s="37"/>
      <c r="CV29" s="105"/>
      <c r="CW29" s="105"/>
      <c r="CX29" s="105"/>
      <c r="CY29" s="105"/>
      <c r="CZ29" s="110"/>
      <c r="DA29" s="74"/>
      <c r="DC29" s="102"/>
      <c r="DD29" s="105"/>
      <c r="DE29" s="18" t="s">
        <v>44</v>
      </c>
      <c r="DF29" s="105"/>
      <c r="DG29" s="20">
        <v>3.7090000000000001</v>
      </c>
      <c r="DH29" s="105"/>
      <c r="DI29" s="105"/>
      <c r="DJ29" s="105"/>
      <c r="DK29" s="105"/>
      <c r="DL29" s="110"/>
      <c r="DM29" s="18" t="s">
        <v>44</v>
      </c>
      <c r="DN29" s="105"/>
      <c r="DO29" s="20">
        <v>3.7029999999999998</v>
      </c>
      <c r="DP29" s="105"/>
      <c r="DQ29" s="105"/>
      <c r="DR29" s="105"/>
      <c r="DS29" s="105"/>
      <c r="DT29" s="110"/>
      <c r="DV29" s="81">
        <f t="shared" si="4"/>
        <v>-6.0000000000002274E-3</v>
      </c>
    </row>
    <row r="30" spans="1:126" ht="14.25" customHeight="1" x14ac:dyDescent="0.3">
      <c r="A30" s="102"/>
      <c r="B30" s="105"/>
      <c r="C30" s="18" t="s">
        <v>45</v>
      </c>
      <c r="D30" s="107"/>
      <c r="E30" s="70">
        <v>3540</v>
      </c>
      <c r="F30" s="105"/>
      <c r="G30" s="105"/>
      <c r="H30" s="105"/>
      <c r="I30" s="105"/>
      <c r="J30" s="110"/>
      <c r="K30" s="18" t="s">
        <v>45</v>
      </c>
      <c r="L30" s="105"/>
      <c r="M30" s="70">
        <v>3539</v>
      </c>
      <c r="N30" s="105"/>
      <c r="O30" s="105"/>
      <c r="P30" s="105"/>
      <c r="Q30" s="105"/>
      <c r="R30" s="110"/>
      <c r="T30">
        <f t="shared" si="0"/>
        <v>1E-3</v>
      </c>
      <c r="V30" s="117"/>
      <c r="W30" s="102"/>
      <c r="X30" s="105"/>
      <c r="Y30" s="18" t="s">
        <v>45</v>
      </c>
      <c r="Z30" s="105"/>
      <c r="AA30" s="20">
        <v>3.8279999999999998</v>
      </c>
      <c r="AB30" s="105"/>
      <c r="AC30" s="105"/>
      <c r="AD30" s="105"/>
      <c r="AE30" s="105"/>
      <c r="AF30" s="110"/>
      <c r="AG30" s="18" t="s">
        <v>45</v>
      </c>
      <c r="AH30" s="105"/>
      <c r="AI30" s="20">
        <v>3.8</v>
      </c>
      <c r="AJ30" s="105"/>
      <c r="AK30" s="105"/>
      <c r="AL30" s="105"/>
      <c r="AM30" s="105"/>
      <c r="AN30" s="110"/>
      <c r="AO30" s="74"/>
      <c r="AP30" s="76">
        <f t="shared" si="1"/>
        <v>2.8000000000000025E-2</v>
      </c>
      <c r="AQ30" s="74"/>
      <c r="AS30" s="102"/>
      <c r="AT30" s="105"/>
      <c r="AU30" s="18" t="s">
        <v>45</v>
      </c>
      <c r="AV30" s="105"/>
      <c r="AW30" s="36">
        <v>3.5990000000000002</v>
      </c>
      <c r="AX30" s="105"/>
      <c r="AY30" s="105"/>
      <c r="AZ30" s="105"/>
      <c r="BA30" s="105"/>
      <c r="BB30" s="110"/>
      <c r="BC30" s="18" t="s">
        <v>45</v>
      </c>
      <c r="BD30" s="105"/>
      <c r="BE30" s="36">
        <v>3.5760000000000001</v>
      </c>
      <c r="BF30" s="105"/>
      <c r="BG30" s="105"/>
      <c r="BH30" s="105"/>
      <c r="BI30" s="105"/>
      <c r="BJ30" s="110"/>
      <c r="BK30" s="74"/>
      <c r="BL30" s="76">
        <f t="shared" si="2"/>
        <v>2.3000000000000131E-2</v>
      </c>
      <c r="BN30" s="102"/>
      <c r="BO30" s="105"/>
      <c r="BP30" s="18" t="s">
        <v>45</v>
      </c>
      <c r="BQ30" s="105"/>
      <c r="BR30" s="20">
        <v>3.9710000000000001</v>
      </c>
      <c r="BS30" s="105"/>
      <c r="BT30" s="105"/>
      <c r="BU30" s="105"/>
      <c r="BV30" s="105"/>
      <c r="BW30" s="110"/>
      <c r="BX30" s="18" t="s">
        <v>45</v>
      </c>
      <c r="BY30" s="105"/>
      <c r="BZ30" s="20">
        <v>3.8279999999999998</v>
      </c>
      <c r="CA30" s="105"/>
      <c r="CB30" s="105"/>
      <c r="CC30" s="105"/>
      <c r="CD30" s="105"/>
      <c r="CE30" s="110"/>
      <c r="CF30" s="74"/>
      <c r="CG30" s="76">
        <f t="shared" si="3"/>
        <v>0.14300000000000024</v>
      </c>
      <c r="CI30" s="102"/>
      <c r="CJ30" s="105"/>
      <c r="CK30" s="18" t="s">
        <v>45</v>
      </c>
      <c r="CL30" s="105"/>
      <c r="CM30" s="37"/>
      <c r="CN30" s="105"/>
      <c r="CO30" s="105"/>
      <c r="CP30" s="105"/>
      <c r="CQ30" s="105"/>
      <c r="CR30" s="110"/>
      <c r="CS30" s="38" t="s">
        <v>45</v>
      </c>
      <c r="CT30" s="105"/>
      <c r="CU30" s="37"/>
      <c r="CV30" s="105"/>
      <c r="CW30" s="105"/>
      <c r="CX30" s="105"/>
      <c r="CY30" s="105"/>
      <c r="CZ30" s="110"/>
      <c r="DA30" s="74"/>
      <c r="DC30" s="102"/>
      <c r="DD30" s="105"/>
      <c r="DE30" s="18" t="s">
        <v>45</v>
      </c>
      <c r="DF30" s="105"/>
      <c r="DG30" s="20">
        <v>3.7109999999999999</v>
      </c>
      <c r="DH30" s="105"/>
      <c r="DI30" s="105"/>
      <c r="DJ30" s="105"/>
      <c r="DK30" s="105"/>
      <c r="DL30" s="110"/>
      <c r="DM30" s="18" t="s">
        <v>45</v>
      </c>
      <c r="DN30" s="105"/>
      <c r="DO30" s="20">
        <v>3.7050000000000001</v>
      </c>
      <c r="DP30" s="105"/>
      <c r="DQ30" s="105"/>
      <c r="DR30" s="105"/>
      <c r="DS30" s="105"/>
      <c r="DT30" s="110"/>
      <c r="DV30" s="81">
        <f t="shared" si="4"/>
        <v>-5.9999999999997833E-3</v>
      </c>
    </row>
    <row r="31" spans="1:126" ht="14.25" customHeight="1" x14ac:dyDescent="0.3">
      <c r="A31" s="102"/>
      <c r="B31" s="105"/>
      <c r="C31" s="18" t="s">
        <v>46</v>
      </c>
      <c r="D31" s="107"/>
      <c r="E31" s="70">
        <v>3561</v>
      </c>
      <c r="F31" s="105"/>
      <c r="G31" s="105"/>
      <c r="H31" s="105"/>
      <c r="I31" s="105"/>
      <c r="J31" s="110"/>
      <c r="K31" s="18" t="s">
        <v>46</v>
      </c>
      <c r="L31" s="105"/>
      <c r="M31" s="70">
        <v>3560</v>
      </c>
      <c r="N31" s="105"/>
      <c r="O31" s="105"/>
      <c r="P31" s="105"/>
      <c r="Q31" s="105"/>
      <c r="R31" s="110"/>
      <c r="T31">
        <f t="shared" si="0"/>
        <v>1E-3</v>
      </c>
      <c r="V31" s="117"/>
      <c r="W31" s="102"/>
      <c r="X31" s="105"/>
      <c r="Y31" s="18" t="s">
        <v>46</v>
      </c>
      <c r="Z31" s="105"/>
      <c r="AA31" s="20">
        <v>3.8759999999999999</v>
      </c>
      <c r="AB31" s="105"/>
      <c r="AC31" s="105"/>
      <c r="AD31" s="105"/>
      <c r="AE31" s="105"/>
      <c r="AF31" s="110"/>
      <c r="AG31" s="18" t="s">
        <v>46</v>
      </c>
      <c r="AH31" s="105"/>
      <c r="AI31" s="20">
        <v>3.8519999999999999</v>
      </c>
      <c r="AJ31" s="105"/>
      <c r="AK31" s="105"/>
      <c r="AL31" s="105"/>
      <c r="AM31" s="105"/>
      <c r="AN31" s="110"/>
      <c r="AO31" s="74"/>
      <c r="AP31" s="76">
        <f t="shared" si="1"/>
        <v>2.4000000000000021E-2</v>
      </c>
      <c r="AQ31" s="74"/>
      <c r="AS31" s="102"/>
      <c r="AT31" s="105"/>
      <c r="AU31" s="18" t="s">
        <v>46</v>
      </c>
      <c r="AV31" s="105"/>
      <c r="AW31" s="36">
        <v>3.637</v>
      </c>
      <c r="AX31" s="105"/>
      <c r="AY31" s="105"/>
      <c r="AZ31" s="105"/>
      <c r="BA31" s="105"/>
      <c r="BB31" s="110"/>
      <c r="BC31" s="18" t="s">
        <v>46</v>
      </c>
      <c r="BD31" s="105"/>
      <c r="BE31" s="36">
        <v>3.6040000000000001</v>
      </c>
      <c r="BF31" s="105"/>
      <c r="BG31" s="105"/>
      <c r="BH31" s="105"/>
      <c r="BI31" s="105"/>
      <c r="BJ31" s="110"/>
      <c r="BK31" s="74"/>
      <c r="BL31" s="76">
        <f t="shared" si="2"/>
        <v>3.2999999999999918E-2</v>
      </c>
      <c r="BN31" s="102"/>
      <c r="BO31" s="105"/>
      <c r="BP31" s="18" t="s">
        <v>46</v>
      </c>
      <c r="BQ31" s="105"/>
      <c r="BR31" s="20">
        <v>4.0330000000000004</v>
      </c>
      <c r="BS31" s="105"/>
      <c r="BT31" s="105"/>
      <c r="BU31" s="105"/>
      <c r="BV31" s="105"/>
      <c r="BW31" s="110"/>
      <c r="BX31" s="18" t="s">
        <v>46</v>
      </c>
      <c r="BY31" s="105"/>
      <c r="BZ31" s="20">
        <v>3.8839999999999999</v>
      </c>
      <c r="CA31" s="105"/>
      <c r="CB31" s="105"/>
      <c r="CC31" s="105"/>
      <c r="CD31" s="105"/>
      <c r="CE31" s="110"/>
      <c r="CF31" s="74"/>
      <c r="CG31" s="76">
        <f t="shared" si="3"/>
        <v>0.14900000000000047</v>
      </c>
      <c r="CI31" s="102"/>
      <c r="CJ31" s="105"/>
      <c r="CK31" s="18" t="s">
        <v>46</v>
      </c>
      <c r="CL31" s="105"/>
      <c r="CM31" s="37"/>
      <c r="CN31" s="105"/>
      <c r="CO31" s="105"/>
      <c r="CP31" s="105"/>
      <c r="CQ31" s="105"/>
      <c r="CR31" s="110"/>
      <c r="CS31" s="38" t="s">
        <v>46</v>
      </c>
      <c r="CT31" s="105"/>
      <c r="CU31" s="37"/>
      <c r="CV31" s="105"/>
      <c r="CW31" s="105"/>
      <c r="CX31" s="105"/>
      <c r="CY31" s="105"/>
      <c r="CZ31" s="110"/>
      <c r="DA31" s="74"/>
      <c r="DC31" s="102"/>
      <c r="DD31" s="105"/>
      <c r="DE31" s="18" t="s">
        <v>46</v>
      </c>
      <c r="DF31" s="105"/>
      <c r="DG31" s="20">
        <v>3.7450000000000001</v>
      </c>
      <c r="DH31" s="105"/>
      <c r="DI31" s="105"/>
      <c r="DJ31" s="105"/>
      <c r="DK31" s="105"/>
      <c r="DL31" s="110"/>
      <c r="DM31" s="18" t="s">
        <v>46</v>
      </c>
      <c r="DN31" s="105"/>
      <c r="DO31" s="20">
        <v>3.742</v>
      </c>
      <c r="DP31" s="105"/>
      <c r="DQ31" s="105"/>
      <c r="DR31" s="105"/>
      <c r="DS31" s="105"/>
      <c r="DT31" s="110"/>
      <c r="DV31" s="81">
        <f t="shared" si="4"/>
        <v>-3.0000000000001137E-3</v>
      </c>
    </row>
    <row r="32" spans="1:126" ht="14.25" customHeight="1" x14ac:dyDescent="0.3">
      <c r="A32" s="102"/>
      <c r="B32" s="105"/>
      <c r="C32" s="18" t="s">
        <v>47</v>
      </c>
      <c r="D32" s="107"/>
      <c r="E32" s="70">
        <v>3540</v>
      </c>
      <c r="F32" s="105"/>
      <c r="G32" s="105"/>
      <c r="H32" s="105"/>
      <c r="I32" s="105"/>
      <c r="J32" s="110"/>
      <c r="K32" s="18" t="s">
        <v>47</v>
      </c>
      <c r="L32" s="105"/>
      <c r="M32" s="70">
        <v>3539</v>
      </c>
      <c r="N32" s="105"/>
      <c r="O32" s="105"/>
      <c r="P32" s="105"/>
      <c r="Q32" s="105"/>
      <c r="R32" s="110"/>
      <c r="T32">
        <f t="shared" si="0"/>
        <v>1E-3</v>
      </c>
      <c r="V32" s="117"/>
      <c r="W32" s="102"/>
      <c r="X32" s="105"/>
      <c r="Y32" s="18" t="s">
        <v>47</v>
      </c>
      <c r="Z32" s="105"/>
      <c r="AA32" s="20">
        <v>3.823</v>
      </c>
      <c r="AB32" s="105"/>
      <c r="AC32" s="105"/>
      <c r="AD32" s="105"/>
      <c r="AE32" s="105"/>
      <c r="AF32" s="110"/>
      <c r="AG32" s="18" t="s">
        <v>47</v>
      </c>
      <c r="AH32" s="105"/>
      <c r="AI32" s="20">
        <v>3.7959999999999998</v>
      </c>
      <c r="AJ32" s="105"/>
      <c r="AK32" s="105"/>
      <c r="AL32" s="105"/>
      <c r="AM32" s="105"/>
      <c r="AN32" s="110"/>
      <c r="AO32" s="74"/>
      <c r="AP32" s="76">
        <f t="shared" si="1"/>
        <v>2.7000000000000135E-2</v>
      </c>
      <c r="AQ32" s="74"/>
      <c r="AS32" s="102"/>
      <c r="AT32" s="105"/>
      <c r="AU32" s="18" t="s">
        <v>47</v>
      </c>
      <c r="AV32" s="105"/>
      <c r="AW32" s="36">
        <v>3.5990000000000002</v>
      </c>
      <c r="AX32" s="105"/>
      <c r="AY32" s="105"/>
      <c r="AZ32" s="105"/>
      <c r="BA32" s="105"/>
      <c r="BB32" s="110"/>
      <c r="BC32" s="18" t="s">
        <v>47</v>
      </c>
      <c r="BD32" s="105"/>
      <c r="BE32" s="36">
        <v>3.5790000000000002</v>
      </c>
      <c r="BF32" s="105"/>
      <c r="BG32" s="105"/>
      <c r="BH32" s="105"/>
      <c r="BI32" s="105"/>
      <c r="BJ32" s="110"/>
      <c r="BK32" s="74"/>
      <c r="BL32" s="76">
        <f t="shared" si="2"/>
        <v>2.0000000000000018E-2</v>
      </c>
      <c r="BN32" s="102"/>
      <c r="BO32" s="105"/>
      <c r="BP32" s="18" t="s">
        <v>47</v>
      </c>
      <c r="BQ32" s="105"/>
      <c r="BR32" s="20">
        <v>3.9689999999999999</v>
      </c>
      <c r="BS32" s="105"/>
      <c r="BT32" s="105"/>
      <c r="BU32" s="105"/>
      <c r="BV32" s="105"/>
      <c r="BW32" s="110"/>
      <c r="BX32" s="18" t="s">
        <v>47</v>
      </c>
      <c r="BY32" s="105"/>
      <c r="BZ32" s="20">
        <v>3.827</v>
      </c>
      <c r="CA32" s="105"/>
      <c r="CB32" s="105"/>
      <c r="CC32" s="105"/>
      <c r="CD32" s="105"/>
      <c r="CE32" s="110"/>
      <c r="CF32" s="74"/>
      <c r="CG32" s="76">
        <f t="shared" si="3"/>
        <v>0.1419999999999999</v>
      </c>
      <c r="CI32" s="102"/>
      <c r="CJ32" s="105"/>
      <c r="CK32" s="18" t="s">
        <v>47</v>
      </c>
      <c r="CL32" s="105"/>
      <c r="CM32" s="37"/>
      <c r="CN32" s="105"/>
      <c r="CO32" s="105"/>
      <c r="CP32" s="105"/>
      <c r="CQ32" s="105"/>
      <c r="CR32" s="110"/>
      <c r="CS32" s="38" t="s">
        <v>47</v>
      </c>
      <c r="CT32" s="105"/>
      <c r="CU32" s="37"/>
      <c r="CV32" s="105"/>
      <c r="CW32" s="105"/>
      <c r="CX32" s="105"/>
      <c r="CY32" s="105"/>
      <c r="CZ32" s="110"/>
      <c r="DA32" s="74"/>
      <c r="DC32" s="102"/>
      <c r="DD32" s="105"/>
      <c r="DE32" s="18" t="s">
        <v>47</v>
      </c>
      <c r="DF32" s="105"/>
      <c r="DG32" s="20">
        <v>3.7080000000000002</v>
      </c>
      <c r="DH32" s="105"/>
      <c r="DI32" s="105"/>
      <c r="DJ32" s="105"/>
      <c r="DK32" s="105"/>
      <c r="DL32" s="110"/>
      <c r="DM32" s="18" t="s">
        <v>47</v>
      </c>
      <c r="DN32" s="105"/>
      <c r="DO32" s="20">
        <v>3.7040000000000002</v>
      </c>
      <c r="DP32" s="105"/>
      <c r="DQ32" s="105"/>
      <c r="DR32" s="105"/>
      <c r="DS32" s="105"/>
      <c r="DT32" s="110"/>
      <c r="DV32" s="81">
        <f t="shared" si="4"/>
        <v>-4.0000000000000036E-3</v>
      </c>
    </row>
    <row r="33" spans="1:126" ht="14.25" customHeight="1" thickBot="1" x14ac:dyDescent="0.35">
      <c r="A33" s="103"/>
      <c r="B33" s="106"/>
      <c r="C33" s="21" t="s">
        <v>48</v>
      </c>
      <c r="D33" s="126"/>
      <c r="E33" s="71">
        <v>3539</v>
      </c>
      <c r="F33" s="106"/>
      <c r="G33" s="106"/>
      <c r="H33" s="106"/>
      <c r="I33" s="106"/>
      <c r="J33" s="111"/>
      <c r="K33" s="21" t="s">
        <v>48</v>
      </c>
      <c r="L33" s="106"/>
      <c r="M33" s="71">
        <v>3538</v>
      </c>
      <c r="N33" s="106"/>
      <c r="O33" s="106"/>
      <c r="P33" s="106"/>
      <c r="Q33" s="106"/>
      <c r="R33" s="111"/>
      <c r="T33">
        <f t="shared" si="0"/>
        <v>1E-3</v>
      </c>
      <c r="V33" s="117"/>
      <c r="W33" s="103"/>
      <c r="X33" s="106"/>
      <c r="Y33" s="21" t="s">
        <v>48</v>
      </c>
      <c r="Z33" s="106"/>
      <c r="AA33" s="23">
        <v>3.82</v>
      </c>
      <c r="AB33" s="106"/>
      <c r="AC33" s="106"/>
      <c r="AD33" s="106"/>
      <c r="AE33" s="106"/>
      <c r="AF33" s="111"/>
      <c r="AG33" s="21" t="s">
        <v>48</v>
      </c>
      <c r="AH33" s="106"/>
      <c r="AI33" s="23">
        <v>3.7930000000000001</v>
      </c>
      <c r="AJ33" s="106"/>
      <c r="AK33" s="106"/>
      <c r="AL33" s="106"/>
      <c r="AM33" s="106"/>
      <c r="AN33" s="111"/>
      <c r="AO33" s="74"/>
      <c r="AP33" s="76">
        <f t="shared" si="1"/>
        <v>2.6999999999999691E-2</v>
      </c>
      <c r="AQ33" s="74"/>
      <c r="AS33" s="103"/>
      <c r="AT33" s="106"/>
      <c r="AU33" s="21" t="s">
        <v>48</v>
      </c>
      <c r="AV33" s="106"/>
      <c r="AW33" s="39">
        <v>3.5920000000000001</v>
      </c>
      <c r="AX33" s="106"/>
      <c r="AY33" s="106"/>
      <c r="AZ33" s="106"/>
      <c r="BA33" s="106"/>
      <c r="BB33" s="111"/>
      <c r="BC33" s="21" t="s">
        <v>48</v>
      </c>
      <c r="BD33" s="106"/>
      <c r="BE33" s="39">
        <v>3.569</v>
      </c>
      <c r="BF33" s="106"/>
      <c r="BG33" s="106"/>
      <c r="BH33" s="106"/>
      <c r="BI33" s="106"/>
      <c r="BJ33" s="111"/>
      <c r="BK33" s="74"/>
      <c r="BL33" s="76">
        <f t="shared" si="2"/>
        <v>2.3000000000000131E-2</v>
      </c>
      <c r="BN33" s="103"/>
      <c r="BO33" s="106"/>
      <c r="BP33" s="21" t="s">
        <v>48</v>
      </c>
      <c r="BQ33" s="106"/>
      <c r="BR33" s="23">
        <v>3.9569999999999999</v>
      </c>
      <c r="BS33" s="106"/>
      <c r="BT33" s="106"/>
      <c r="BU33" s="106"/>
      <c r="BV33" s="106"/>
      <c r="BW33" s="111"/>
      <c r="BX33" s="21" t="s">
        <v>48</v>
      </c>
      <c r="BY33" s="106"/>
      <c r="BZ33" s="23">
        <v>3.8180000000000001</v>
      </c>
      <c r="CA33" s="106"/>
      <c r="CB33" s="106"/>
      <c r="CC33" s="106"/>
      <c r="CD33" s="106"/>
      <c r="CE33" s="111"/>
      <c r="CF33" s="74"/>
      <c r="CG33" s="76">
        <f t="shared" si="3"/>
        <v>0.13899999999999979</v>
      </c>
      <c r="CI33" s="103"/>
      <c r="CJ33" s="106"/>
      <c r="CK33" s="21" t="s">
        <v>48</v>
      </c>
      <c r="CL33" s="106"/>
      <c r="CM33" s="40"/>
      <c r="CN33" s="106"/>
      <c r="CO33" s="106"/>
      <c r="CP33" s="106"/>
      <c r="CQ33" s="106"/>
      <c r="CR33" s="111"/>
      <c r="CS33" s="41" t="s">
        <v>48</v>
      </c>
      <c r="CT33" s="106"/>
      <c r="CU33" s="40"/>
      <c r="CV33" s="106"/>
      <c r="CW33" s="106"/>
      <c r="CX33" s="106"/>
      <c r="CY33" s="106"/>
      <c r="CZ33" s="111"/>
      <c r="DA33" s="74"/>
      <c r="DC33" s="103"/>
      <c r="DD33" s="106"/>
      <c r="DE33" s="21" t="s">
        <v>48</v>
      </c>
      <c r="DF33" s="106"/>
      <c r="DG33" s="23">
        <v>3.706</v>
      </c>
      <c r="DH33" s="106"/>
      <c r="DI33" s="106"/>
      <c r="DJ33" s="106"/>
      <c r="DK33" s="106"/>
      <c r="DL33" s="111"/>
      <c r="DM33" s="21" t="s">
        <v>48</v>
      </c>
      <c r="DN33" s="106"/>
      <c r="DO33" s="23">
        <v>3.7029999999999998</v>
      </c>
      <c r="DP33" s="106"/>
      <c r="DQ33" s="106"/>
      <c r="DR33" s="106"/>
      <c r="DS33" s="106"/>
      <c r="DT33" s="111"/>
      <c r="DV33" s="81">
        <f t="shared" si="4"/>
        <v>-3.0000000000001137E-3</v>
      </c>
    </row>
    <row r="34" spans="1:126" ht="14.25" customHeight="1" thickBot="1" x14ac:dyDescent="0.35">
      <c r="A34" s="24"/>
      <c r="B34" s="25"/>
      <c r="C34" s="26"/>
      <c r="D34" s="25"/>
      <c r="E34" s="72"/>
      <c r="F34" s="28"/>
      <c r="G34" s="25"/>
      <c r="H34" s="25"/>
      <c r="I34" s="29"/>
      <c r="J34" s="30"/>
      <c r="K34" s="26"/>
      <c r="L34" s="25"/>
      <c r="M34" s="72"/>
      <c r="N34" s="28"/>
      <c r="O34" s="25"/>
      <c r="P34" s="25"/>
      <c r="Q34" s="29"/>
      <c r="R34" s="30"/>
      <c r="T34">
        <f t="shared" si="0"/>
        <v>0</v>
      </c>
      <c r="V34" s="16"/>
      <c r="W34" s="24"/>
      <c r="X34" s="25"/>
      <c r="Y34" s="26"/>
      <c r="Z34" s="25"/>
      <c r="AA34" s="31">
        <v>49.75</v>
      </c>
      <c r="AB34" s="28"/>
      <c r="AC34" s="25"/>
      <c r="AD34" s="25"/>
      <c r="AE34" s="29"/>
      <c r="AF34" s="30"/>
      <c r="AG34" s="26"/>
      <c r="AH34" s="25"/>
      <c r="AI34" s="31">
        <v>49.66</v>
      </c>
      <c r="AJ34" s="28"/>
      <c r="AK34" s="25"/>
      <c r="AL34" s="25"/>
      <c r="AM34" s="29"/>
      <c r="AN34" s="30"/>
      <c r="AO34" s="16"/>
      <c r="AP34" s="76">
        <f t="shared" si="1"/>
        <v>9.0000000000003411E-2</v>
      </c>
      <c r="AQ34" s="16"/>
      <c r="AS34" s="24"/>
      <c r="AT34" s="25"/>
      <c r="AU34" s="26"/>
      <c r="AV34" s="25"/>
      <c r="AW34" s="42">
        <v>46.8</v>
      </c>
      <c r="AX34" s="28"/>
      <c r="AY34" s="25"/>
      <c r="AZ34" s="25"/>
      <c r="BA34" s="29"/>
      <c r="BB34" s="30"/>
      <c r="BC34" s="26"/>
      <c r="BD34" s="25"/>
      <c r="BE34" s="42">
        <v>43.6</v>
      </c>
      <c r="BF34" s="28"/>
      <c r="BG34" s="25"/>
      <c r="BH34" s="25"/>
      <c r="BI34" s="29"/>
      <c r="BJ34" s="30"/>
      <c r="BK34" s="16"/>
      <c r="BL34" s="76">
        <f t="shared" si="2"/>
        <v>3.1999999999999957</v>
      </c>
      <c r="BN34" s="24"/>
      <c r="BO34" s="25"/>
      <c r="BP34" s="26"/>
      <c r="BQ34" s="25"/>
      <c r="BR34" s="31">
        <v>51.7</v>
      </c>
      <c r="BS34" s="28"/>
      <c r="BT34" s="25"/>
      <c r="BU34" s="25"/>
      <c r="BV34" s="29"/>
      <c r="BW34" s="30"/>
      <c r="BX34" s="26"/>
      <c r="BY34" s="25"/>
      <c r="BZ34" s="31">
        <v>49.75</v>
      </c>
      <c r="CA34" s="28"/>
      <c r="CB34" s="25"/>
      <c r="CC34" s="25"/>
      <c r="CD34" s="29"/>
      <c r="CE34" s="30"/>
      <c r="CF34" s="16"/>
      <c r="CG34" s="76">
        <f t="shared" si="3"/>
        <v>1.9500000000000028</v>
      </c>
      <c r="CI34" s="24"/>
      <c r="CJ34" s="25"/>
      <c r="CK34" s="26"/>
      <c r="CL34" s="43"/>
      <c r="CM34" s="44"/>
      <c r="CN34" s="45"/>
      <c r="CO34" s="43"/>
      <c r="CP34" s="43"/>
      <c r="CQ34" s="46"/>
      <c r="CR34" s="47"/>
      <c r="CS34" s="32"/>
      <c r="CT34" s="43"/>
      <c r="CU34" s="44"/>
      <c r="CV34" s="45"/>
      <c r="CW34" s="43"/>
      <c r="CX34" s="43"/>
      <c r="CY34" s="46"/>
      <c r="CZ34" s="47"/>
      <c r="DA34" s="78"/>
      <c r="DC34" s="24"/>
      <c r="DD34" s="25"/>
      <c r="DE34" s="26"/>
      <c r="DF34" s="25"/>
      <c r="DG34" s="31">
        <v>48.24</v>
      </c>
      <c r="DH34" s="28"/>
      <c r="DI34" s="25"/>
      <c r="DJ34" s="25"/>
      <c r="DK34" s="29"/>
      <c r="DL34" s="30"/>
      <c r="DM34" s="26"/>
      <c r="DN34" s="25"/>
      <c r="DO34" s="27">
        <v>48.19</v>
      </c>
      <c r="DP34" s="28"/>
      <c r="DQ34" s="25"/>
      <c r="DR34" s="25"/>
      <c r="DS34" s="29"/>
      <c r="DT34" s="30"/>
      <c r="DV34" s="81">
        <f t="shared" si="4"/>
        <v>-5.0000000000004263E-2</v>
      </c>
    </row>
    <row r="35" spans="1:126" ht="14.25" customHeight="1" x14ac:dyDescent="0.3">
      <c r="A35" s="101">
        <v>3</v>
      </c>
      <c r="B35" s="104" t="s">
        <v>28</v>
      </c>
      <c r="C35" s="12" t="s">
        <v>29</v>
      </c>
      <c r="D35" s="104">
        <v>37.799999999999997</v>
      </c>
      <c r="E35" s="69">
        <v>3516</v>
      </c>
      <c r="F35" s="108">
        <v>0.25</v>
      </c>
      <c r="G35" s="104">
        <v>54</v>
      </c>
      <c r="H35" s="104">
        <v>32</v>
      </c>
      <c r="I35" s="108">
        <v>0.75</v>
      </c>
      <c r="J35" s="135" t="s">
        <v>58</v>
      </c>
      <c r="K35" s="12" t="s">
        <v>29</v>
      </c>
      <c r="L35" s="104">
        <v>38.299999999999997</v>
      </c>
      <c r="M35" s="69">
        <v>3493</v>
      </c>
      <c r="N35" s="112">
        <v>0.21</v>
      </c>
      <c r="O35" s="104">
        <v>57</v>
      </c>
      <c r="P35" s="104">
        <v>32</v>
      </c>
      <c r="Q35" s="108">
        <v>0.75</v>
      </c>
      <c r="R35" s="135" t="s">
        <v>59</v>
      </c>
      <c r="T35">
        <f t="shared" si="0"/>
        <v>2.3E-2</v>
      </c>
      <c r="V35" s="116"/>
      <c r="W35" s="101">
        <v>3</v>
      </c>
      <c r="X35" s="104" t="s">
        <v>28</v>
      </c>
      <c r="Y35" s="12" t="s">
        <v>29</v>
      </c>
      <c r="Z35" s="104">
        <v>34.1</v>
      </c>
      <c r="AA35" s="17">
        <v>3.7519999999999998</v>
      </c>
      <c r="AB35" s="108">
        <v>0.75</v>
      </c>
      <c r="AC35" s="104">
        <v>50</v>
      </c>
      <c r="AD35" s="104">
        <v>28</v>
      </c>
      <c r="AE35" s="108">
        <v>0.75</v>
      </c>
      <c r="AF35" s="135" t="s">
        <v>60</v>
      </c>
      <c r="AG35" s="12" t="s">
        <v>29</v>
      </c>
      <c r="AH35" s="104">
        <v>34.299999999999997</v>
      </c>
      <c r="AI35" s="17">
        <v>3.7010000000000001</v>
      </c>
      <c r="AJ35" s="112">
        <v>0.7</v>
      </c>
      <c r="AK35" s="104">
        <v>53</v>
      </c>
      <c r="AL35" s="104">
        <v>28</v>
      </c>
      <c r="AM35" s="108">
        <v>0.75</v>
      </c>
      <c r="AN35" s="135" t="s">
        <v>61</v>
      </c>
      <c r="AO35" s="16"/>
      <c r="AP35" s="76">
        <f t="shared" si="1"/>
        <v>5.0999999999999712E-2</v>
      </c>
      <c r="AQ35" s="16"/>
      <c r="AS35" s="101">
        <v>3</v>
      </c>
      <c r="AT35" s="104" t="s">
        <v>28</v>
      </c>
      <c r="AU35" s="12" t="s">
        <v>29</v>
      </c>
      <c r="AV35" s="104">
        <v>39.700000000000003</v>
      </c>
      <c r="AW35" s="17">
        <v>3.4390000000000001</v>
      </c>
      <c r="AX35" s="112">
        <v>0.37</v>
      </c>
      <c r="AY35" s="104">
        <v>54</v>
      </c>
      <c r="AZ35" s="104">
        <v>28</v>
      </c>
      <c r="BA35" s="108">
        <v>0.75</v>
      </c>
      <c r="BB35" s="109" t="s">
        <v>62</v>
      </c>
      <c r="BC35" s="48" t="s">
        <v>29</v>
      </c>
      <c r="BD35" s="104">
        <v>40.1</v>
      </c>
      <c r="BE35" s="17">
        <v>3.383</v>
      </c>
      <c r="BF35" s="112">
        <v>0.26</v>
      </c>
      <c r="BG35" s="104">
        <v>56</v>
      </c>
      <c r="BH35" s="104">
        <v>29</v>
      </c>
      <c r="BI35" s="108">
        <v>0.75</v>
      </c>
      <c r="BJ35" s="109" t="s">
        <v>63</v>
      </c>
      <c r="BK35" s="16"/>
      <c r="BL35" s="76">
        <f t="shared" si="2"/>
        <v>5.600000000000005E-2</v>
      </c>
      <c r="BN35" s="101">
        <v>3</v>
      </c>
      <c r="BO35" s="104" t="s">
        <v>28</v>
      </c>
      <c r="BP35" s="12" t="s">
        <v>29</v>
      </c>
      <c r="BQ35" s="104">
        <v>37.299999999999997</v>
      </c>
      <c r="BR35" s="49">
        <v>3.7709999999999999</v>
      </c>
      <c r="BS35" s="108">
        <v>0.84</v>
      </c>
      <c r="BT35" s="104">
        <v>51</v>
      </c>
      <c r="BU35" s="104">
        <v>28</v>
      </c>
      <c r="BV35" s="108">
        <v>0.75</v>
      </c>
      <c r="BW35" s="135" t="s">
        <v>64</v>
      </c>
      <c r="BX35" s="12" t="s">
        <v>29</v>
      </c>
      <c r="BY35" s="104">
        <v>39.299999999999997</v>
      </c>
      <c r="BZ35" s="17">
        <v>3.6760000000000002</v>
      </c>
      <c r="CA35" s="112">
        <v>0.74</v>
      </c>
      <c r="CB35" s="104">
        <v>54</v>
      </c>
      <c r="CC35" s="104">
        <v>28</v>
      </c>
      <c r="CD35" s="108">
        <v>0.75</v>
      </c>
      <c r="CE35" s="135" t="s">
        <v>65</v>
      </c>
      <c r="CF35" s="16"/>
      <c r="CG35" s="76">
        <f t="shared" si="3"/>
        <v>9.4999999999999751E-2</v>
      </c>
      <c r="CI35" s="101">
        <v>3</v>
      </c>
      <c r="CJ35" s="104" t="s">
        <v>28</v>
      </c>
      <c r="CK35" s="12" t="s">
        <v>29</v>
      </c>
      <c r="CL35" s="137"/>
      <c r="CM35" s="34"/>
      <c r="CN35" s="127"/>
      <c r="CO35" s="137"/>
      <c r="CP35" s="137"/>
      <c r="CQ35" s="138">
        <v>0.75</v>
      </c>
      <c r="CR35" s="136"/>
      <c r="CS35" s="35" t="s">
        <v>29</v>
      </c>
      <c r="CT35" s="137"/>
      <c r="CU35" s="34"/>
      <c r="CV35" s="139"/>
      <c r="CW35" s="137"/>
      <c r="CX35" s="137"/>
      <c r="CY35" s="138">
        <v>0.75</v>
      </c>
      <c r="CZ35" s="136"/>
      <c r="DA35" s="78"/>
      <c r="DC35" s="101">
        <v>3</v>
      </c>
      <c r="DD35" s="104" t="s">
        <v>28</v>
      </c>
      <c r="DE35" s="12" t="s">
        <v>29</v>
      </c>
      <c r="DF35" s="104">
        <v>35.299999999999997</v>
      </c>
      <c r="DG35" s="17">
        <v>3.7010000000000001</v>
      </c>
      <c r="DH35" s="108">
        <v>0.54</v>
      </c>
      <c r="DI35" s="104">
        <v>39</v>
      </c>
      <c r="DJ35" s="104">
        <v>28</v>
      </c>
      <c r="DK35" s="108">
        <v>0.75</v>
      </c>
      <c r="DL35" s="135" t="s">
        <v>66</v>
      </c>
      <c r="DM35" s="12" t="s">
        <v>29</v>
      </c>
      <c r="DN35" s="104">
        <v>35.200000000000003</v>
      </c>
      <c r="DO35" s="17">
        <v>3.6949999999999998</v>
      </c>
      <c r="DP35" s="112">
        <v>0.54</v>
      </c>
      <c r="DQ35" s="104">
        <v>49</v>
      </c>
      <c r="DR35" s="104">
        <v>28</v>
      </c>
      <c r="DS35" s="108">
        <v>0.75</v>
      </c>
      <c r="DT35" s="135" t="s">
        <v>67</v>
      </c>
      <c r="DV35" s="81">
        <f t="shared" si="4"/>
        <v>-6.0000000000002274E-3</v>
      </c>
    </row>
    <row r="36" spans="1:126" ht="14.25" customHeight="1" x14ac:dyDescent="0.3">
      <c r="A36" s="102"/>
      <c r="B36" s="105"/>
      <c r="C36" s="18" t="s">
        <v>37</v>
      </c>
      <c r="D36" s="107"/>
      <c r="E36" s="70">
        <v>3513</v>
      </c>
      <c r="F36" s="105"/>
      <c r="G36" s="105"/>
      <c r="H36" s="105"/>
      <c r="I36" s="105"/>
      <c r="J36" s="110"/>
      <c r="K36" s="18" t="s">
        <v>37</v>
      </c>
      <c r="L36" s="105"/>
      <c r="M36" s="70">
        <v>3495</v>
      </c>
      <c r="N36" s="105"/>
      <c r="O36" s="105"/>
      <c r="P36" s="105"/>
      <c r="Q36" s="105"/>
      <c r="R36" s="110"/>
      <c r="T36">
        <f t="shared" si="0"/>
        <v>1.7999999999999999E-2</v>
      </c>
      <c r="V36" s="117"/>
      <c r="W36" s="102"/>
      <c r="X36" s="105"/>
      <c r="Y36" s="18" t="s">
        <v>37</v>
      </c>
      <c r="Z36" s="105"/>
      <c r="AA36" s="20">
        <v>3.7730000000000001</v>
      </c>
      <c r="AB36" s="105"/>
      <c r="AC36" s="105"/>
      <c r="AD36" s="105"/>
      <c r="AE36" s="105"/>
      <c r="AF36" s="110"/>
      <c r="AG36" s="18" t="s">
        <v>37</v>
      </c>
      <c r="AH36" s="105"/>
      <c r="AI36" s="20">
        <v>3.7050000000000001</v>
      </c>
      <c r="AJ36" s="105"/>
      <c r="AK36" s="105"/>
      <c r="AL36" s="105"/>
      <c r="AM36" s="105"/>
      <c r="AN36" s="110"/>
      <c r="AO36" s="74"/>
      <c r="AP36" s="76">
        <f t="shared" si="1"/>
        <v>6.800000000000006E-2</v>
      </c>
      <c r="AQ36" s="74"/>
      <c r="AS36" s="102"/>
      <c r="AT36" s="105"/>
      <c r="AU36" s="18" t="s">
        <v>37</v>
      </c>
      <c r="AV36" s="105"/>
      <c r="AW36" s="20">
        <v>3.4630000000000001</v>
      </c>
      <c r="AX36" s="105"/>
      <c r="AY36" s="105"/>
      <c r="AZ36" s="105"/>
      <c r="BA36" s="105"/>
      <c r="BB36" s="110"/>
      <c r="BC36" s="50" t="s">
        <v>37</v>
      </c>
      <c r="BD36" s="105"/>
      <c r="BE36" s="20">
        <v>3.411</v>
      </c>
      <c r="BF36" s="105"/>
      <c r="BG36" s="105"/>
      <c r="BH36" s="105"/>
      <c r="BI36" s="105"/>
      <c r="BJ36" s="110"/>
      <c r="BK36" s="74"/>
      <c r="BL36" s="76">
        <f t="shared" si="2"/>
        <v>5.2000000000000046E-2</v>
      </c>
      <c r="BN36" s="102"/>
      <c r="BO36" s="105"/>
      <c r="BP36" s="18" t="s">
        <v>37</v>
      </c>
      <c r="BQ36" s="105"/>
      <c r="BR36" s="51">
        <v>3.7970000000000002</v>
      </c>
      <c r="BS36" s="105"/>
      <c r="BT36" s="105"/>
      <c r="BU36" s="105"/>
      <c r="BV36" s="105"/>
      <c r="BW36" s="110"/>
      <c r="BX36" s="18" t="s">
        <v>37</v>
      </c>
      <c r="BY36" s="105"/>
      <c r="BZ36" s="20">
        <v>3.706</v>
      </c>
      <c r="CA36" s="105"/>
      <c r="CB36" s="105"/>
      <c r="CC36" s="105"/>
      <c r="CD36" s="105"/>
      <c r="CE36" s="110"/>
      <c r="CF36" s="74"/>
      <c r="CG36" s="76">
        <f t="shared" si="3"/>
        <v>9.1000000000000192E-2</v>
      </c>
      <c r="CI36" s="102"/>
      <c r="CJ36" s="105"/>
      <c r="CK36" s="18" t="s">
        <v>37</v>
      </c>
      <c r="CL36" s="105"/>
      <c r="CM36" s="37"/>
      <c r="CN36" s="105"/>
      <c r="CO36" s="105"/>
      <c r="CP36" s="105"/>
      <c r="CQ36" s="105"/>
      <c r="CR36" s="110"/>
      <c r="CS36" s="38" t="s">
        <v>37</v>
      </c>
      <c r="CT36" s="105"/>
      <c r="CU36" s="37"/>
      <c r="CV36" s="105"/>
      <c r="CW36" s="105"/>
      <c r="CX36" s="105"/>
      <c r="CY36" s="105"/>
      <c r="CZ36" s="110"/>
      <c r="DA36" s="74"/>
      <c r="DC36" s="102"/>
      <c r="DD36" s="105"/>
      <c r="DE36" s="18" t="s">
        <v>37</v>
      </c>
      <c r="DF36" s="105"/>
      <c r="DG36" s="20">
        <v>3.7050000000000001</v>
      </c>
      <c r="DH36" s="105"/>
      <c r="DI36" s="105"/>
      <c r="DJ36" s="105"/>
      <c r="DK36" s="105"/>
      <c r="DL36" s="110"/>
      <c r="DM36" s="18" t="s">
        <v>37</v>
      </c>
      <c r="DN36" s="105"/>
      <c r="DO36" s="20">
        <v>3.6989999999999998</v>
      </c>
      <c r="DP36" s="105"/>
      <c r="DQ36" s="105"/>
      <c r="DR36" s="105"/>
      <c r="DS36" s="105"/>
      <c r="DT36" s="110"/>
      <c r="DV36" s="81">
        <f t="shared" si="4"/>
        <v>-6.0000000000002274E-3</v>
      </c>
    </row>
    <row r="37" spans="1:126" ht="14.25" customHeight="1" x14ac:dyDescent="0.3">
      <c r="A37" s="102"/>
      <c r="B37" s="105"/>
      <c r="C37" s="18" t="s">
        <v>38</v>
      </c>
      <c r="D37" s="107"/>
      <c r="E37" s="70">
        <v>3516</v>
      </c>
      <c r="F37" s="105"/>
      <c r="G37" s="105"/>
      <c r="H37" s="105"/>
      <c r="I37" s="105"/>
      <c r="J37" s="110"/>
      <c r="K37" s="18" t="s">
        <v>38</v>
      </c>
      <c r="L37" s="105"/>
      <c r="M37" s="70">
        <v>3497</v>
      </c>
      <c r="N37" s="105"/>
      <c r="O37" s="105"/>
      <c r="P37" s="105"/>
      <c r="Q37" s="105"/>
      <c r="R37" s="110"/>
      <c r="T37">
        <f t="shared" si="0"/>
        <v>1.9E-2</v>
      </c>
      <c r="V37" s="117"/>
      <c r="W37" s="102"/>
      <c r="X37" s="105"/>
      <c r="Y37" s="18" t="s">
        <v>38</v>
      </c>
      <c r="Z37" s="105"/>
      <c r="AA37" s="20">
        <v>3.7610000000000001</v>
      </c>
      <c r="AB37" s="105"/>
      <c r="AC37" s="105"/>
      <c r="AD37" s="105"/>
      <c r="AE37" s="105"/>
      <c r="AF37" s="110"/>
      <c r="AG37" s="18" t="s">
        <v>38</v>
      </c>
      <c r="AH37" s="105"/>
      <c r="AI37" s="20">
        <v>3.7</v>
      </c>
      <c r="AJ37" s="105"/>
      <c r="AK37" s="105"/>
      <c r="AL37" s="105"/>
      <c r="AM37" s="105"/>
      <c r="AN37" s="110"/>
      <c r="AO37" s="74"/>
      <c r="AP37" s="76">
        <f t="shared" si="1"/>
        <v>6.0999999999999943E-2</v>
      </c>
      <c r="AQ37" s="74"/>
      <c r="AS37" s="102"/>
      <c r="AT37" s="105"/>
      <c r="AU37" s="18" t="s">
        <v>38</v>
      </c>
      <c r="AV37" s="105"/>
      <c r="AW37" s="20">
        <v>3.4590000000000001</v>
      </c>
      <c r="AX37" s="105"/>
      <c r="AY37" s="105"/>
      <c r="AZ37" s="105"/>
      <c r="BA37" s="105"/>
      <c r="BB37" s="110"/>
      <c r="BC37" s="50" t="s">
        <v>38</v>
      </c>
      <c r="BD37" s="105"/>
      <c r="BE37" s="20">
        <v>3.4060000000000001</v>
      </c>
      <c r="BF37" s="105"/>
      <c r="BG37" s="105"/>
      <c r="BH37" s="105"/>
      <c r="BI37" s="105"/>
      <c r="BJ37" s="110"/>
      <c r="BK37" s="74"/>
      <c r="BL37" s="76">
        <f t="shared" si="2"/>
        <v>5.2999999999999936E-2</v>
      </c>
      <c r="BN37" s="102"/>
      <c r="BO37" s="105"/>
      <c r="BP37" s="18" t="s">
        <v>38</v>
      </c>
      <c r="BQ37" s="105"/>
      <c r="BR37" s="51">
        <v>3.794</v>
      </c>
      <c r="BS37" s="105"/>
      <c r="BT37" s="105"/>
      <c r="BU37" s="105"/>
      <c r="BV37" s="105"/>
      <c r="BW37" s="110"/>
      <c r="BX37" s="18" t="s">
        <v>38</v>
      </c>
      <c r="BY37" s="105"/>
      <c r="BZ37" s="20">
        <v>3.6970000000000001</v>
      </c>
      <c r="CA37" s="105"/>
      <c r="CB37" s="105"/>
      <c r="CC37" s="105"/>
      <c r="CD37" s="105"/>
      <c r="CE37" s="110"/>
      <c r="CF37" s="74"/>
      <c r="CG37" s="76">
        <f t="shared" si="3"/>
        <v>9.6999999999999975E-2</v>
      </c>
      <c r="CI37" s="102"/>
      <c r="CJ37" s="105"/>
      <c r="CK37" s="18" t="s">
        <v>38</v>
      </c>
      <c r="CL37" s="105"/>
      <c r="CM37" s="37"/>
      <c r="CN37" s="105"/>
      <c r="CO37" s="105"/>
      <c r="CP37" s="105"/>
      <c r="CQ37" s="105"/>
      <c r="CR37" s="110"/>
      <c r="CS37" s="38" t="s">
        <v>38</v>
      </c>
      <c r="CT37" s="105"/>
      <c r="CU37" s="37"/>
      <c r="CV37" s="105"/>
      <c r="CW37" s="105"/>
      <c r="CX37" s="105"/>
      <c r="CY37" s="105"/>
      <c r="CZ37" s="110"/>
      <c r="DA37" s="74"/>
      <c r="DC37" s="102"/>
      <c r="DD37" s="105"/>
      <c r="DE37" s="18" t="s">
        <v>38</v>
      </c>
      <c r="DF37" s="105"/>
      <c r="DG37" s="20">
        <v>3.7040000000000002</v>
      </c>
      <c r="DH37" s="105"/>
      <c r="DI37" s="105"/>
      <c r="DJ37" s="105"/>
      <c r="DK37" s="105"/>
      <c r="DL37" s="110"/>
      <c r="DM37" s="18" t="s">
        <v>38</v>
      </c>
      <c r="DN37" s="105"/>
      <c r="DO37" s="20">
        <v>3.6970000000000001</v>
      </c>
      <c r="DP37" s="105"/>
      <c r="DQ37" s="105"/>
      <c r="DR37" s="105"/>
      <c r="DS37" s="105"/>
      <c r="DT37" s="110"/>
      <c r="DV37" s="81">
        <f t="shared" si="4"/>
        <v>-7.0000000000001172E-3</v>
      </c>
    </row>
    <row r="38" spans="1:126" ht="14.25" customHeight="1" x14ac:dyDescent="0.3">
      <c r="A38" s="102"/>
      <c r="B38" s="105"/>
      <c r="C38" s="18" t="s">
        <v>39</v>
      </c>
      <c r="D38" s="107"/>
      <c r="E38" s="70">
        <v>3517</v>
      </c>
      <c r="F38" s="105"/>
      <c r="G38" s="105"/>
      <c r="H38" s="105"/>
      <c r="I38" s="105"/>
      <c r="J38" s="110"/>
      <c r="K38" s="18" t="s">
        <v>39</v>
      </c>
      <c r="L38" s="105"/>
      <c r="M38" s="70">
        <v>3493</v>
      </c>
      <c r="N38" s="105"/>
      <c r="O38" s="105"/>
      <c r="P38" s="105"/>
      <c r="Q38" s="105"/>
      <c r="R38" s="110"/>
      <c r="T38">
        <f t="shared" si="0"/>
        <v>2.4E-2</v>
      </c>
      <c r="V38" s="117"/>
      <c r="W38" s="102"/>
      <c r="X38" s="105"/>
      <c r="Y38" s="18" t="s">
        <v>39</v>
      </c>
      <c r="Z38" s="105"/>
      <c r="AA38" s="20">
        <v>3.762</v>
      </c>
      <c r="AB38" s="105"/>
      <c r="AC38" s="105"/>
      <c r="AD38" s="105"/>
      <c r="AE38" s="105"/>
      <c r="AF38" s="110"/>
      <c r="AG38" s="18" t="s">
        <v>39</v>
      </c>
      <c r="AH38" s="105"/>
      <c r="AI38" s="20">
        <v>3.7040000000000002</v>
      </c>
      <c r="AJ38" s="105"/>
      <c r="AK38" s="105"/>
      <c r="AL38" s="105"/>
      <c r="AM38" s="105"/>
      <c r="AN38" s="110"/>
      <c r="AO38" s="74"/>
      <c r="AP38" s="76">
        <f t="shared" si="1"/>
        <v>5.7999999999999829E-2</v>
      </c>
      <c r="AQ38" s="74"/>
      <c r="AS38" s="102"/>
      <c r="AT38" s="105"/>
      <c r="AU38" s="18" t="s">
        <v>39</v>
      </c>
      <c r="AV38" s="105"/>
      <c r="AW38" s="20">
        <v>3.4620000000000002</v>
      </c>
      <c r="AX38" s="105"/>
      <c r="AY38" s="105"/>
      <c r="AZ38" s="105"/>
      <c r="BA38" s="105"/>
      <c r="BB38" s="110"/>
      <c r="BC38" s="50" t="s">
        <v>39</v>
      </c>
      <c r="BD38" s="105"/>
      <c r="BE38" s="20">
        <v>3.4060000000000001</v>
      </c>
      <c r="BF38" s="105"/>
      <c r="BG38" s="105"/>
      <c r="BH38" s="105"/>
      <c r="BI38" s="105"/>
      <c r="BJ38" s="110"/>
      <c r="BK38" s="74"/>
      <c r="BL38" s="76">
        <f t="shared" si="2"/>
        <v>5.600000000000005E-2</v>
      </c>
      <c r="BN38" s="102"/>
      <c r="BO38" s="105"/>
      <c r="BP38" s="18" t="s">
        <v>39</v>
      </c>
      <c r="BQ38" s="105"/>
      <c r="BR38" s="51">
        <v>3.782</v>
      </c>
      <c r="BS38" s="105"/>
      <c r="BT38" s="105"/>
      <c r="BU38" s="105"/>
      <c r="BV38" s="105"/>
      <c r="BW38" s="110"/>
      <c r="BX38" s="18" t="s">
        <v>39</v>
      </c>
      <c r="BY38" s="105"/>
      <c r="BZ38" s="20">
        <v>3.6949999999999998</v>
      </c>
      <c r="CA38" s="105"/>
      <c r="CB38" s="105"/>
      <c r="CC38" s="105"/>
      <c r="CD38" s="105"/>
      <c r="CE38" s="110"/>
      <c r="CF38" s="74"/>
      <c r="CG38" s="76">
        <f t="shared" si="3"/>
        <v>8.7000000000000188E-2</v>
      </c>
      <c r="CI38" s="102"/>
      <c r="CJ38" s="105"/>
      <c r="CK38" s="18" t="s">
        <v>39</v>
      </c>
      <c r="CL38" s="105"/>
      <c r="CM38" s="37"/>
      <c r="CN38" s="105"/>
      <c r="CO38" s="105"/>
      <c r="CP38" s="105"/>
      <c r="CQ38" s="105"/>
      <c r="CR38" s="110"/>
      <c r="CS38" s="38" t="s">
        <v>39</v>
      </c>
      <c r="CT38" s="105"/>
      <c r="CU38" s="37"/>
      <c r="CV38" s="105"/>
      <c r="CW38" s="105"/>
      <c r="CX38" s="105"/>
      <c r="CY38" s="105"/>
      <c r="CZ38" s="110"/>
      <c r="DA38" s="74"/>
      <c r="DC38" s="102"/>
      <c r="DD38" s="105"/>
      <c r="DE38" s="18" t="s">
        <v>39</v>
      </c>
      <c r="DF38" s="105"/>
      <c r="DG38" s="20">
        <v>3.7029999999999998</v>
      </c>
      <c r="DH38" s="105"/>
      <c r="DI38" s="105"/>
      <c r="DJ38" s="105"/>
      <c r="DK38" s="105"/>
      <c r="DL38" s="110"/>
      <c r="DM38" s="18" t="s">
        <v>39</v>
      </c>
      <c r="DN38" s="105"/>
      <c r="DO38" s="20">
        <v>3.6970000000000001</v>
      </c>
      <c r="DP38" s="105"/>
      <c r="DQ38" s="105"/>
      <c r="DR38" s="105"/>
      <c r="DS38" s="105"/>
      <c r="DT38" s="110"/>
      <c r="DV38" s="81">
        <f t="shared" si="4"/>
        <v>-5.9999999999997833E-3</v>
      </c>
    </row>
    <row r="39" spans="1:126" ht="14.25" customHeight="1" x14ac:dyDescent="0.3">
      <c r="A39" s="102"/>
      <c r="B39" s="105"/>
      <c r="C39" s="18" t="s">
        <v>40</v>
      </c>
      <c r="D39" s="107"/>
      <c r="E39" s="70">
        <v>3519</v>
      </c>
      <c r="F39" s="105"/>
      <c r="G39" s="105"/>
      <c r="H39" s="105"/>
      <c r="I39" s="105"/>
      <c r="J39" s="110"/>
      <c r="K39" s="18" t="s">
        <v>40</v>
      </c>
      <c r="L39" s="105"/>
      <c r="M39" s="70">
        <v>3502</v>
      </c>
      <c r="N39" s="105"/>
      <c r="O39" s="105"/>
      <c r="P39" s="105"/>
      <c r="Q39" s="105"/>
      <c r="R39" s="110"/>
      <c r="T39">
        <f t="shared" si="0"/>
        <v>1.7000000000000001E-2</v>
      </c>
      <c r="V39" s="117"/>
      <c r="W39" s="102"/>
      <c r="X39" s="105"/>
      <c r="Y39" s="18" t="s">
        <v>40</v>
      </c>
      <c r="Z39" s="105"/>
      <c r="AA39" s="20">
        <v>3.7629999999999999</v>
      </c>
      <c r="AB39" s="105"/>
      <c r="AC39" s="105"/>
      <c r="AD39" s="105"/>
      <c r="AE39" s="105"/>
      <c r="AF39" s="110"/>
      <c r="AG39" s="18" t="s">
        <v>40</v>
      </c>
      <c r="AH39" s="105"/>
      <c r="AI39" s="20">
        <v>3.7010000000000001</v>
      </c>
      <c r="AJ39" s="105"/>
      <c r="AK39" s="105"/>
      <c r="AL39" s="105"/>
      <c r="AM39" s="105"/>
      <c r="AN39" s="110"/>
      <c r="AO39" s="74"/>
      <c r="AP39" s="76">
        <f t="shared" si="1"/>
        <v>6.1999999999999833E-2</v>
      </c>
      <c r="AQ39" s="74"/>
      <c r="AS39" s="102"/>
      <c r="AT39" s="105"/>
      <c r="AU39" s="18" t="s">
        <v>40</v>
      </c>
      <c r="AV39" s="105"/>
      <c r="AW39" s="20">
        <v>3.4620000000000002</v>
      </c>
      <c r="AX39" s="105"/>
      <c r="AY39" s="105"/>
      <c r="AZ39" s="105"/>
      <c r="BA39" s="105"/>
      <c r="BB39" s="110"/>
      <c r="BC39" s="50" t="s">
        <v>40</v>
      </c>
      <c r="BD39" s="105"/>
      <c r="BE39" s="20">
        <v>3.4049999999999998</v>
      </c>
      <c r="BF39" s="105"/>
      <c r="BG39" s="105"/>
      <c r="BH39" s="105"/>
      <c r="BI39" s="105"/>
      <c r="BJ39" s="110"/>
      <c r="BK39" s="74"/>
      <c r="BL39" s="76">
        <f t="shared" si="2"/>
        <v>5.7000000000000384E-2</v>
      </c>
      <c r="BN39" s="102"/>
      <c r="BO39" s="105"/>
      <c r="BP39" s="18" t="s">
        <v>40</v>
      </c>
      <c r="BQ39" s="105"/>
      <c r="BR39" s="51">
        <v>3.794</v>
      </c>
      <c r="BS39" s="105"/>
      <c r="BT39" s="105"/>
      <c r="BU39" s="105"/>
      <c r="BV39" s="105"/>
      <c r="BW39" s="110"/>
      <c r="BX39" s="18" t="s">
        <v>40</v>
      </c>
      <c r="BY39" s="105"/>
      <c r="BZ39" s="20">
        <v>3.6949999999999998</v>
      </c>
      <c r="CA39" s="105"/>
      <c r="CB39" s="105"/>
      <c r="CC39" s="105"/>
      <c r="CD39" s="105"/>
      <c r="CE39" s="110"/>
      <c r="CF39" s="74"/>
      <c r="CG39" s="76">
        <f t="shared" si="3"/>
        <v>9.9000000000000199E-2</v>
      </c>
      <c r="CI39" s="102"/>
      <c r="CJ39" s="105"/>
      <c r="CK39" s="18" t="s">
        <v>40</v>
      </c>
      <c r="CL39" s="105"/>
      <c r="CM39" s="37"/>
      <c r="CN39" s="105"/>
      <c r="CO39" s="105"/>
      <c r="CP39" s="105"/>
      <c r="CQ39" s="105"/>
      <c r="CR39" s="110"/>
      <c r="CS39" s="38" t="s">
        <v>40</v>
      </c>
      <c r="CT39" s="105"/>
      <c r="CU39" s="37"/>
      <c r="CV39" s="105"/>
      <c r="CW39" s="105"/>
      <c r="CX39" s="105"/>
      <c r="CY39" s="105"/>
      <c r="CZ39" s="110"/>
      <c r="DA39" s="74"/>
      <c r="DC39" s="102"/>
      <c r="DD39" s="105"/>
      <c r="DE39" s="18" t="s">
        <v>40</v>
      </c>
      <c r="DF39" s="105"/>
      <c r="DG39" s="20">
        <v>3.7029999999999998</v>
      </c>
      <c r="DH39" s="105"/>
      <c r="DI39" s="105"/>
      <c r="DJ39" s="105"/>
      <c r="DK39" s="105"/>
      <c r="DL39" s="110"/>
      <c r="DM39" s="18" t="s">
        <v>40</v>
      </c>
      <c r="DN39" s="105"/>
      <c r="DO39" s="20">
        <v>3.6949999999999998</v>
      </c>
      <c r="DP39" s="105"/>
      <c r="DQ39" s="105"/>
      <c r="DR39" s="105"/>
      <c r="DS39" s="105"/>
      <c r="DT39" s="110"/>
      <c r="DV39" s="81">
        <f t="shared" si="4"/>
        <v>-8.0000000000000071E-3</v>
      </c>
    </row>
    <row r="40" spans="1:126" ht="14.25" customHeight="1" x14ac:dyDescent="0.3">
      <c r="A40" s="102"/>
      <c r="B40" s="105"/>
      <c r="C40" s="18" t="s">
        <v>41</v>
      </c>
      <c r="D40" s="107"/>
      <c r="E40" s="70">
        <v>3502</v>
      </c>
      <c r="F40" s="105"/>
      <c r="G40" s="105"/>
      <c r="H40" s="105"/>
      <c r="I40" s="105"/>
      <c r="J40" s="110"/>
      <c r="K40" s="18" t="s">
        <v>41</v>
      </c>
      <c r="L40" s="105"/>
      <c r="M40" s="70">
        <v>3489</v>
      </c>
      <c r="N40" s="105"/>
      <c r="O40" s="105"/>
      <c r="P40" s="105"/>
      <c r="Q40" s="105"/>
      <c r="R40" s="110"/>
      <c r="T40">
        <f t="shared" si="0"/>
        <v>1.2999999999999999E-2</v>
      </c>
      <c r="V40" s="117"/>
      <c r="W40" s="102"/>
      <c r="X40" s="105"/>
      <c r="Y40" s="18" t="s">
        <v>41</v>
      </c>
      <c r="Z40" s="105"/>
      <c r="AA40" s="20">
        <v>3.762</v>
      </c>
      <c r="AB40" s="105"/>
      <c r="AC40" s="105"/>
      <c r="AD40" s="105"/>
      <c r="AE40" s="105"/>
      <c r="AF40" s="110"/>
      <c r="AG40" s="18" t="s">
        <v>41</v>
      </c>
      <c r="AH40" s="105"/>
      <c r="AI40" s="20">
        <v>3.6829999999999998</v>
      </c>
      <c r="AJ40" s="105"/>
      <c r="AK40" s="105"/>
      <c r="AL40" s="105"/>
      <c r="AM40" s="105"/>
      <c r="AN40" s="110"/>
      <c r="AO40" s="74"/>
      <c r="AP40" s="76">
        <f t="shared" si="1"/>
        <v>7.9000000000000181E-2</v>
      </c>
      <c r="AQ40" s="74"/>
      <c r="AS40" s="102"/>
      <c r="AT40" s="105"/>
      <c r="AU40" s="18" t="s">
        <v>41</v>
      </c>
      <c r="AV40" s="105"/>
      <c r="AW40" s="20">
        <v>3.4329999999999998</v>
      </c>
      <c r="AX40" s="105"/>
      <c r="AY40" s="105"/>
      <c r="AZ40" s="105"/>
      <c r="BA40" s="105"/>
      <c r="BB40" s="110"/>
      <c r="BC40" s="50" t="s">
        <v>41</v>
      </c>
      <c r="BD40" s="105"/>
      <c r="BE40" s="20">
        <v>3.383</v>
      </c>
      <c r="BF40" s="105"/>
      <c r="BG40" s="105"/>
      <c r="BH40" s="105"/>
      <c r="BI40" s="105"/>
      <c r="BJ40" s="110"/>
      <c r="BK40" s="74"/>
      <c r="BL40" s="76">
        <f t="shared" si="2"/>
        <v>4.9999999999999822E-2</v>
      </c>
      <c r="BN40" s="102"/>
      <c r="BO40" s="105"/>
      <c r="BP40" s="18" t="s">
        <v>41</v>
      </c>
      <c r="BQ40" s="105"/>
      <c r="BR40" s="51">
        <v>3.7679999999999998</v>
      </c>
      <c r="BS40" s="105"/>
      <c r="BT40" s="105"/>
      <c r="BU40" s="105"/>
      <c r="BV40" s="105"/>
      <c r="BW40" s="110"/>
      <c r="BX40" s="18" t="s">
        <v>41</v>
      </c>
      <c r="BY40" s="105"/>
      <c r="BZ40" s="20">
        <v>3.67</v>
      </c>
      <c r="CA40" s="105"/>
      <c r="CB40" s="105"/>
      <c r="CC40" s="105"/>
      <c r="CD40" s="105"/>
      <c r="CE40" s="110"/>
      <c r="CF40" s="74"/>
      <c r="CG40" s="76">
        <f t="shared" si="3"/>
        <v>9.7999999999999865E-2</v>
      </c>
      <c r="CI40" s="102"/>
      <c r="CJ40" s="105"/>
      <c r="CK40" s="18" t="s">
        <v>41</v>
      </c>
      <c r="CL40" s="105"/>
      <c r="CM40" s="37"/>
      <c r="CN40" s="105"/>
      <c r="CO40" s="105"/>
      <c r="CP40" s="105"/>
      <c r="CQ40" s="105"/>
      <c r="CR40" s="110"/>
      <c r="CS40" s="38" t="s">
        <v>41</v>
      </c>
      <c r="CT40" s="105"/>
      <c r="CU40" s="37"/>
      <c r="CV40" s="105"/>
      <c r="CW40" s="105"/>
      <c r="CX40" s="105"/>
      <c r="CY40" s="105"/>
      <c r="CZ40" s="110"/>
      <c r="DA40" s="74"/>
      <c r="DC40" s="102"/>
      <c r="DD40" s="105"/>
      <c r="DE40" s="18" t="s">
        <v>41</v>
      </c>
      <c r="DF40" s="105"/>
      <c r="DG40" s="20">
        <v>3.6949999999999998</v>
      </c>
      <c r="DH40" s="105"/>
      <c r="DI40" s="105"/>
      <c r="DJ40" s="105"/>
      <c r="DK40" s="105"/>
      <c r="DL40" s="110"/>
      <c r="DM40" s="18" t="s">
        <v>41</v>
      </c>
      <c r="DN40" s="105"/>
      <c r="DO40" s="20">
        <v>3.694</v>
      </c>
      <c r="DP40" s="105"/>
      <c r="DQ40" s="105"/>
      <c r="DR40" s="105"/>
      <c r="DS40" s="105"/>
      <c r="DT40" s="110"/>
      <c r="DV40" s="81">
        <f t="shared" si="4"/>
        <v>-9.9999999999988987E-4</v>
      </c>
    </row>
    <row r="41" spans="1:126" ht="14.25" customHeight="1" x14ac:dyDescent="0.3">
      <c r="A41" s="102"/>
      <c r="B41" s="105"/>
      <c r="C41" s="18" t="s">
        <v>42</v>
      </c>
      <c r="D41" s="107"/>
      <c r="E41" s="70">
        <v>3513</v>
      </c>
      <c r="F41" s="105"/>
      <c r="G41" s="105"/>
      <c r="H41" s="105"/>
      <c r="I41" s="105"/>
      <c r="J41" s="110"/>
      <c r="K41" s="18" t="s">
        <v>42</v>
      </c>
      <c r="L41" s="105"/>
      <c r="M41" s="70">
        <v>3500</v>
      </c>
      <c r="N41" s="105"/>
      <c r="O41" s="105"/>
      <c r="P41" s="105"/>
      <c r="Q41" s="105"/>
      <c r="R41" s="110"/>
      <c r="S41">
        <f>L35-D35</f>
        <v>0.5</v>
      </c>
      <c r="T41">
        <f t="shared" si="0"/>
        <v>1.2999999999999999E-2</v>
      </c>
      <c r="V41" s="117"/>
      <c r="W41" s="102"/>
      <c r="X41" s="105"/>
      <c r="Y41" s="18" t="s">
        <v>42</v>
      </c>
      <c r="Z41" s="105"/>
      <c r="AA41" s="20">
        <v>3.7610000000000001</v>
      </c>
      <c r="AB41" s="105"/>
      <c r="AC41" s="105"/>
      <c r="AD41" s="105"/>
      <c r="AE41" s="105"/>
      <c r="AF41" s="110"/>
      <c r="AG41" s="18" t="s">
        <v>42</v>
      </c>
      <c r="AH41" s="105"/>
      <c r="AI41" s="20">
        <v>3.714</v>
      </c>
      <c r="AJ41" s="105"/>
      <c r="AK41" s="105"/>
      <c r="AL41" s="105"/>
      <c r="AM41" s="105"/>
      <c r="AN41" s="110"/>
      <c r="AO41" s="74">
        <f>AH35-Z35</f>
        <v>0.19999999999999574</v>
      </c>
      <c r="AP41" s="76">
        <f t="shared" si="1"/>
        <v>4.7000000000000153E-2</v>
      </c>
      <c r="AQ41" s="74"/>
      <c r="AS41" s="102"/>
      <c r="AT41" s="105"/>
      <c r="AU41" s="18" t="s">
        <v>42</v>
      </c>
      <c r="AV41" s="105"/>
      <c r="AW41" s="20">
        <v>3.4540000000000002</v>
      </c>
      <c r="AX41" s="105"/>
      <c r="AY41" s="105"/>
      <c r="AZ41" s="105"/>
      <c r="BA41" s="105"/>
      <c r="BB41" s="110"/>
      <c r="BC41" s="50" t="s">
        <v>42</v>
      </c>
      <c r="BD41" s="105"/>
      <c r="BE41" s="20">
        <v>3.4060000000000001</v>
      </c>
      <c r="BF41" s="105"/>
      <c r="BG41" s="105"/>
      <c r="BH41" s="105"/>
      <c r="BI41" s="105"/>
      <c r="BJ41" s="110"/>
      <c r="BK41" s="74">
        <f>BD35-AV35</f>
        <v>0.39999999999999858</v>
      </c>
      <c r="BL41" s="76">
        <f t="shared" si="2"/>
        <v>4.8000000000000043E-2</v>
      </c>
      <c r="BN41" s="102"/>
      <c r="BO41" s="105"/>
      <c r="BP41" s="18" t="s">
        <v>42</v>
      </c>
      <c r="BQ41" s="105"/>
      <c r="BR41" s="51">
        <v>3.7949999999999999</v>
      </c>
      <c r="BS41" s="105"/>
      <c r="BT41" s="105"/>
      <c r="BU41" s="105"/>
      <c r="BV41" s="105"/>
      <c r="BW41" s="110"/>
      <c r="BX41" s="18" t="s">
        <v>42</v>
      </c>
      <c r="BY41" s="105"/>
      <c r="BZ41" s="20">
        <v>3.7</v>
      </c>
      <c r="CA41" s="105"/>
      <c r="CB41" s="105"/>
      <c r="CC41" s="105"/>
      <c r="CD41" s="105"/>
      <c r="CE41" s="110"/>
      <c r="CF41" s="74">
        <f>BY35-BQ35</f>
        <v>2</v>
      </c>
      <c r="CG41" s="76">
        <f t="shared" si="3"/>
        <v>9.4999999999999751E-2</v>
      </c>
      <c r="CI41" s="102"/>
      <c r="CJ41" s="105"/>
      <c r="CK41" s="18" t="s">
        <v>42</v>
      </c>
      <c r="CL41" s="105"/>
      <c r="CM41" s="37"/>
      <c r="CN41" s="105"/>
      <c r="CO41" s="105"/>
      <c r="CP41" s="105"/>
      <c r="CQ41" s="105"/>
      <c r="CR41" s="110"/>
      <c r="CS41" s="38" t="s">
        <v>42</v>
      </c>
      <c r="CT41" s="105"/>
      <c r="CU41" s="37"/>
      <c r="CV41" s="105"/>
      <c r="CW41" s="105"/>
      <c r="CX41" s="105"/>
      <c r="CY41" s="105"/>
      <c r="CZ41" s="110"/>
      <c r="DA41" s="74"/>
      <c r="DC41" s="102"/>
      <c r="DD41" s="105"/>
      <c r="DE41" s="18" t="s">
        <v>42</v>
      </c>
      <c r="DF41" s="105"/>
      <c r="DG41" s="20">
        <v>3.7029999999999998</v>
      </c>
      <c r="DH41" s="105"/>
      <c r="DI41" s="105"/>
      <c r="DJ41" s="105"/>
      <c r="DK41" s="105"/>
      <c r="DL41" s="110"/>
      <c r="DM41" s="18" t="s">
        <v>42</v>
      </c>
      <c r="DN41" s="105"/>
      <c r="DO41" s="20">
        <v>3.6949999999999998</v>
      </c>
      <c r="DP41" s="105"/>
      <c r="DQ41" s="105"/>
      <c r="DR41" s="105"/>
      <c r="DS41" s="105"/>
      <c r="DT41" s="110"/>
      <c r="DV41" s="81">
        <f t="shared" si="4"/>
        <v>-8.0000000000000071E-3</v>
      </c>
    </row>
    <row r="42" spans="1:126" ht="14.25" customHeight="1" x14ac:dyDescent="0.3">
      <c r="A42" s="102"/>
      <c r="B42" s="105"/>
      <c r="C42" s="18" t="s">
        <v>43</v>
      </c>
      <c r="D42" s="107"/>
      <c r="E42" s="70">
        <v>3510</v>
      </c>
      <c r="F42" s="105"/>
      <c r="G42" s="105"/>
      <c r="H42" s="105"/>
      <c r="I42" s="105"/>
      <c r="J42" s="110"/>
      <c r="K42" s="18" t="s">
        <v>43</v>
      </c>
      <c r="L42" s="105"/>
      <c r="M42" s="70">
        <v>3494</v>
      </c>
      <c r="N42" s="105"/>
      <c r="O42" s="105"/>
      <c r="P42" s="105"/>
      <c r="Q42" s="105"/>
      <c r="R42" s="110"/>
      <c r="T42">
        <f t="shared" si="0"/>
        <v>1.6E-2</v>
      </c>
      <c r="V42" s="117"/>
      <c r="W42" s="102"/>
      <c r="X42" s="105"/>
      <c r="Y42" s="18" t="s">
        <v>43</v>
      </c>
      <c r="Z42" s="105"/>
      <c r="AA42" s="20">
        <v>3.7709999999999999</v>
      </c>
      <c r="AB42" s="105"/>
      <c r="AC42" s="105"/>
      <c r="AD42" s="105"/>
      <c r="AE42" s="105"/>
      <c r="AF42" s="110"/>
      <c r="AG42" s="18" t="s">
        <v>43</v>
      </c>
      <c r="AH42" s="105"/>
      <c r="AI42" s="20">
        <v>3.7050000000000001</v>
      </c>
      <c r="AJ42" s="105"/>
      <c r="AK42" s="105"/>
      <c r="AL42" s="105"/>
      <c r="AM42" s="105"/>
      <c r="AN42" s="110"/>
      <c r="AO42" s="74"/>
      <c r="AP42" s="76">
        <f t="shared" si="1"/>
        <v>6.5999999999999837E-2</v>
      </c>
      <c r="AQ42" s="74"/>
      <c r="AS42" s="102"/>
      <c r="AT42" s="105"/>
      <c r="AU42" s="18" t="s">
        <v>43</v>
      </c>
      <c r="AV42" s="105"/>
      <c r="AW42" s="20">
        <v>3.4620000000000002</v>
      </c>
      <c r="AX42" s="105"/>
      <c r="AY42" s="105"/>
      <c r="AZ42" s="105"/>
      <c r="BA42" s="105"/>
      <c r="BB42" s="110"/>
      <c r="BC42" s="50" t="s">
        <v>43</v>
      </c>
      <c r="BD42" s="105"/>
      <c r="BE42" s="20">
        <v>3.4089999999999998</v>
      </c>
      <c r="BF42" s="105"/>
      <c r="BG42" s="105"/>
      <c r="BH42" s="105"/>
      <c r="BI42" s="105"/>
      <c r="BJ42" s="110"/>
      <c r="BK42" s="74"/>
      <c r="BL42" s="76">
        <f t="shared" si="2"/>
        <v>5.300000000000038E-2</v>
      </c>
      <c r="BN42" s="102"/>
      <c r="BO42" s="105"/>
      <c r="BP42" s="18" t="s">
        <v>43</v>
      </c>
      <c r="BQ42" s="105"/>
      <c r="BR42" s="51">
        <v>3.794</v>
      </c>
      <c r="BS42" s="105"/>
      <c r="BT42" s="105"/>
      <c r="BU42" s="105"/>
      <c r="BV42" s="105"/>
      <c r="BW42" s="110"/>
      <c r="BX42" s="18" t="s">
        <v>43</v>
      </c>
      <c r="BY42" s="105"/>
      <c r="BZ42" s="20">
        <v>3.694</v>
      </c>
      <c r="CA42" s="105"/>
      <c r="CB42" s="105"/>
      <c r="CC42" s="105"/>
      <c r="CD42" s="105"/>
      <c r="CE42" s="110"/>
      <c r="CF42" s="74"/>
      <c r="CG42" s="76">
        <f t="shared" si="3"/>
        <v>0.10000000000000009</v>
      </c>
      <c r="CI42" s="102"/>
      <c r="CJ42" s="105"/>
      <c r="CK42" s="18" t="s">
        <v>43</v>
      </c>
      <c r="CL42" s="105"/>
      <c r="CM42" s="37"/>
      <c r="CN42" s="105"/>
      <c r="CO42" s="105"/>
      <c r="CP42" s="105"/>
      <c r="CQ42" s="105"/>
      <c r="CR42" s="110"/>
      <c r="CS42" s="38" t="s">
        <v>43</v>
      </c>
      <c r="CT42" s="105"/>
      <c r="CU42" s="37"/>
      <c r="CV42" s="105"/>
      <c r="CW42" s="105"/>
      <c r="CX42" s="105"/>
      <c r="CY42" s="105"/>
      <c r="CZ42" s="110"/>
      <c r="DA42" s="74"/>
      <c r="DC42" s="102"/>
      <c r="DD42" s="105"/>
      <c r="DE42" s="18" t="s">
        <v>43</v>
      </c>
      <c r="DF42" s="105"/>
      <c r="DG42" s="20">
        <v>3.7010000000000001</v>
      </c>
      <c r="DH42" s="105"/>
      <c r="DI42" s="105"/>
      <c r="DJ42" s="105"/>
      <c r="DK42" s="105"/>
      <c r="DL42" s="110"/>
      <c r="DM42" s="18" t="s">
        <v>43</v>
      </c>
      <c r="DN42" s="105"/>
      <c r="DO42" s="20">
        <v>3.694</v>
      </c>
      <c r="DP42" s="105"/>
      <c r="DQ42" s="105"/>
      <c r="DR42" s="105"/>
      <c r="DS42" s="105"/>
      <c r="DT42" s="110"/>
      <c r="DV42" s="81">
        <f t="shared" si="4"/>
        <v>-7.0000000000001172E-3</v>
      </c>
    </row>
    <row r="43" spans="1:126" ht="14.25" customHeight="1" x14ac:dyDescent="0.3">
      <c r="A43" s="102"/>
      <c r="B43" s="105"/>
      <c r="C43" s="18" t="s">
        <v>44</v>
      </c>
      <c r="D43" s="107"/>
      <c r="E43" s="70">
        <v>3519</v>
      </c>
      <c r="F43" s="105"/>
      <c r="G43" s="105"/>
      <c r="H43" s="105"/>
      <c r="I43" s="105"/>
      <c r="J43" s="110"/>
      <c r="K43" s="18" t="s">
        <v>44</v>
      </c>
      <c r="L43" s="105"/>
      <c r="M43" s="70">
        <v>3501</v>
      </c>
      <c r="N43" s="105"/>
      <c r="O43" s="105"/>
      <c r="P43" s="105"/>
      <c r="Q43" s="105"/>
      <c r="R43" s="110"/>
      <c r="T43">
        <f t="shared" si="0"/>
        <v>1.7999999999999999E-2</v>
      </c>
      <c r="V43" s="117"/>
      <c r="W43" s="102"/>
      <c r="X43" s="105"/>
      <c r="Y43" s="18" t="s">
        <v>44</v>
      </c>
      <c r="Z43" s="105"/>
      <c r="AA43" s="20">
        <v>3.7650000000000001</v>
      </c>
      <c r="AB43" s="105"/>
      <c r="AC43" s="105"/>
      <c r="AD43" s="105"/>
      <c r="AE43" s="105"/>
      <c r="AF43" s="110"/>
      <c r="AG43" s="18" t="s">
        <v>44</v>
      </c>
      <c r="AH43" s="105"/>
      <c r="AI43" s="20">
        <v>3.7029999999999998</v>
      </c>
      <c r="AJ43" s="105"/>
      <c r="AK43" s="105"/>
      <c r="AL43" s="105"/>
      <c r="AM43" s="105"/>
      <c r="AN43" s="110"/>
      <c r="AO43" s="74"/>
      <c r="AP43" s="76">
        <f t="shared" si="1"/>
        <v>6.2000000000000277E-2</v>
      </c>
      <c r="AQ43" s="74"/>
      <c r="AS43" s="102"/>
      <c r="AT43" s="105"/>
      <c r="AU43" s="18" t="s">
        <v>44</v>
      </c>
      <c r="AV43" s="105"/>
      <c r="AW43" s="20">
        <v>3.45</v>
      </c>
      <c r="AX43" s="105"/>
      <c r="AY43" s="105"/>
      <c r="AZ43" s="105"/>
      <c r="BA43" s="105"/>
      <c r="BB43" s="110"/>
      <c r="BC43" s="50" t="s">
        <v>44</v>
      </c>
      <c r="BD43" s="105"/>
      <c r="BE43" s="20">
        <v>3.41</v>
      </c>
      <c r="BF43" s="105"/>
      <c r="BG43" s="105"/>
      <c r="BH43" s="105"/>
      <c r="BI43" s="105"/>
      <c r="BJ43" s="110"/>
      <c r="BK43" s="74"/>
      <c r="BL43" s="76">
        <f t="shared" si="2"/>
        <v>4.0000000000000036E-2</v>
      </c>
      <c r="BN43" s="102"/>
      <c r="BO43" s="105"/>
      <c r="BP43" s="18" t="s">
        <v>44</v>
      </c>
      <c r="BQ43" s="105"/>
      <c r="BR43" s="51">
        <v>3.79</v>
      </c>
      <c r="BS43" s="105"/>
      <c r="BT43" s="105"/>
      <c r="BU43" s="105"/>
      <c r="BV43" s="105"/>
      <c r="BW43" s="110"/>
      <c r="BX43" s="18" t="s">
        <v>44</v>
      </c>
      <c r="BY43" s="105"/>
      <c r="BZ43" s="20">
        <v>3.7</v>
      </c>
      <c r="CA43" s="105"/>
      <c r="CB43" s="105"/>
      <c r="CC43" s="105"/>
      <c r="CD43" s="105"/>
      <c r="CE43" s="110"/>
      <c r="CF43" s="74"/>
      <c r="CG43" s="76">
        <f t="shared" si="3"/>
        <v>8.9999999999999858E-2</v>
      </c>
      <c r="CI43" s="102"/>
      <c r="CJ43" s="105"/>
      <c r="CK43" s="18" t="s">
        <v>44</v>
      </c>
      <c r="CL43" s="105"/>
      <c r="CM43" s="37"/>
      <c r="CN43" s="105"/>
      <c r="CO43" s="105"/>
      <c r="CP43" s="105"/>
      <c r="CQ43" s="105"/>
      <c r="CR43" s="110"/>
      <c r="CS43" s="38" t="s">
        <v>44</v>
      </c>
      <c r="CT43" s="105"/>
      <c r="CU43" s="37"/>
      <c r="CV43" s="105"/>
      <c r="CW43" s="105"/>
      <c r="CX43" s="105"/>
      <c r="CY43" s="105"/>
      <c r="CZ43" s="110"/>
      <c r="DA43" s="74"/>
      <c r="DC43" s="102"/>
      <c r="DD43" s="105"/>
      <c r="DE43" s="18" t="s">
        <v>44</v>
      </c>
      <c r="DF43" s="105"/>
      <c r="DG43" s="20">
        <v>3.7010000000000001</v>
      </c>
      <c r="DH43" s="105"/>
      <c r="DI43" s="105"/>
      <c r="DJ43" s="105"/>
      <c r="DK43" s="105"/>
      <c r="DL43" s="110"/>
      <c r="DM43" s="18" t="s">
        <v>44</v>
      </c>
      <c r="DN43" s="105"/>
      <c r="DO43" s="20">
        <v>3.6949999999999998</v>
      </c>
      <c r="DP43" s="105"/>
      <c r="DQ43" s="105"/>
      <c r="DR43" s="105"/>
      <c r="DS43" s="105"/>
      <c r="DT43" s="110"/>
      <c r="DV43" s="81">
        <f t="shared" si="4"/>
        <v>-6.0000000000002274E-3</v>
      </c>
    </row>
    <row r="44" spans="1:126" ht="14.25" customHeight="1" x14ac:dyDescent="0.3">
      <c r="A44" s="102"/>
      <c r="B44" s="105"/>
      <c r="C44" s="18" t="s">
        <v>45</v>
      </c>
      <c r="D44" s="107"/>
      <c r="E44" s="70">
        <v>3508</v>
      </c>
      <c r="F44" s="105"/>
      <c r="G44" s="105"/>
      <c r="H44" s="105"/>
      <c r="I44" s="105"/>
      <c r="J44" s="110"/>
      <c r="K44" s="18" t="s">
        <v>45</v>
      </c>
      <c r="L44" s="105"/>
      <c r="M44" s="70">
        <v>3490</v>
      </c>
      <c r="N44" s="105"/>
      <c r="O44" s="105"/>
      <c r="P44" s="105"/>
      <c r="Q44" s="105"/>
      <c r="R44" s="110"/>
      <c r="T44">
        <f t="shared" si="0"/>
        <v>1.7999999999999999E-2</v>
      </c>
      <c r="V44" s="117"/>
      <c r="W44" s="102"/>
      <c r="X44" s="105"/>
      <c r="Y44" s="18" t="s">
        <v>45</v>
      </c>
      <c r="Z44" s="105"/>
      <c r="AA44" s="20">
        <v>3.7650000000000001</v>
      </c>
      <c r="AB44" s="105"/>
      <c r="AC44" s="105"/>
      <c r="AD44" s="105"/>
      <c r="AE44" s="105"/>
      <c r="AF44" s="110"/>
      <c r="AG44" s="18" t="s">
        <v>45</v>
      </c>
      <c r="AH44" s="105"/>
      <c r="AI44" s="20">
        <v>3.7120000000000002</v>
      </c>
      <c r="AJ44" s="105"/>
      <c r="AK44" s="105"/>
      <c r="AL44" s="105"/>
      <c r="AM44" s="105"/>
      <c r="AN44" s="110"/>
      <c r="AO44" s="74"/>
      <c r="AP44" s="76">
        <f t="shared" si="1"/>
        <v>5.2999999999999936E-2</v>
      </c>
      <c r="AQ44" s="74"/>
      <c r="AS44" s="102"/>
      <c r="AT44" s="105"/>
      <c r="AU44" s="18" t="s">
        <v>45</v>
      </c>
      <c r="AV44" s="105"/>
      <c r="AW44" s="20">
        <v>3.4660000000000002</v>
      </c>
      <c r="AX44" s="105"/>
      <c r="AY44" s="105"/>
      <c r="AZ44" s="105"/>
      <c r="BA44" s="105"/>
      <c r="BB44" s="110"/>
      <c r="BC44" s="50" t="s">
        <v>45</v>
      </c>
      <c r="BD44" s="105"/>
      <c r="BE44" s="20">
        <v>3.411</v>
      </c>
      <c r="BF44" s="105"/>
      <c r="BG44" s="105"/>
      <c r="BH44" s="105"/>
      <c r="BI44" s="105"/>
      <c r="BJ44" s="110"/>
      <c r="BK44" s="74"/>
      <c r="BL44" s="76">
        <f t="shared" si="2"/>
        <v>5.500000000000016E-2</v>
      </c>
      <c r="BN44" s="102"/>
      <c r="BO44" s="105"/>
      <c r="BP44" s="18" t="s">
        <v>45</v>
      </c>
      <c r="BQ44" s="105"/>
      <c r="BR44" s="51">
        <v>3.7949999999999999</v>
      </c>
      <c r="BS44" s="105"/>
      <c r="BT44" s="105"/>
      <c r="BU44" s="105"/>
      <c r="BV44" s="105"/>
      <c r="BW44" s="110"/>
      <c r="BX44" s="18" t="s">
        <v>45</v>
      </c>
      <c r="BY44" s="105"/>
      <c r="BZ44" s="20">
        <v>3.698</v>
      </c>
      <c r="CA44" s="105"/>
      <c r="CB44" s="105"/>
      <c r="CC44" s="105"/>
      <c r="CD44" s="105"/>
      <c r="CE44" s="110"/>
      <c r="CF44" s="74"/>
      <c r="CG44" s="76">
        <f t="shared" si="3"/>
        <v>9.6999999999999975E-2</v>
      </c>
      <c r="CI44" s="102"/>
      <c r="CJ44" s="105"/>
      <c r="CK44" s="18" t="s">
        <v>45</v>
      </c>
      <c r="CL44" s="105"/>
      <c r="CM44" s="37"/>
      <c r="CN44" s="105"/>
      <c r="CO44" s="105"/>
      <c r="CP44" s="105"/>
      <c r="CQ44" s="105"/>
      <c r="CR44" s="110"/>
      <c r="CS44" s="38" t="s">
        <v>45</v>
      </c>
      <c r="CT44" s="105"/>
      <c r="CU44" s="37"/>
      <c r="CV44" s="105"/>
      <c r="CW44" s="105"/>
      <c r="CX44" s="105"/>
      <c r="CY44" s="105"/>
      <c r="CZ44" s="110"/>
      <c r="DA44" s="74"/>
      <c r="DC44" s="102"/>
      <c r="DD44" s="105"/>
      <c r="DE44" s="18" t="s">
        <v>45</v>
      </c>
      <c r="DF44" s="105"/>
      <c r="DG44" s="20">
        <v>3.7040000000000002</v>
      </c>
      <c r="DH44" s="105"/>
      <c r="DI44" s="105"/>
      <c r="DJ44" s="105"/>
      <c r="DK44" s="105"/>
      <c r="DL44" s="110"/>
      <c r="DM44" s="18" t="s">
        <v>45</v>
      </c>
      <c r="DN44" s="105"/>
      <c r="DO44" s="20">
        <v>3.698</v>
      </c>
      <c r="DP44" s="105"/>
      <c r="DQ44" s="105"/>
      <c r="DR44" s="105"/>
      <c r="DS44" s="105"/>
      <c r="DT44" s="110"/>
      <c r="DV44" s="81">
        <f t="shared" si="4"/>
        <v>-6.0000000000002274E-3</v>
      </c>
    </row>
    <row r="45" spans="1:126" ht="14.25" customHeight="1" x14ac:dyDescent="0.3">
      <c r="A45" s="102"/>
      <c r="B45" s="105"/>
      <c r="C45" s="18" t="s">
        <v>46</v>
      </c>
      <c r="D45" s="107"/>
      <c r="E45" s="70">
        <v>3547</v>
      </c>
      <c r="F45" s="105"/>
      <c r="G45" s="105"/>
      <c r="H45" s="105"/>
      <c r="I45" s="105"/>
      <c r="J45" s="110"/>
      <c r="K45" s="18" t="s">
        <v>46</v>
      </c>
      <c r="L45" s="105"/>
      <c r="M45" s="70">
        <v>3533</v>
      </c>
      <c r="N45" s="105"/>
      <c r="O45" s="105"/>
      <c r="P45" s="105"/>
      <c r="Q45" s="105"/>
      <c r="R45" s="110"/>
      <c r="T45">
        <f t="shared" si="0"/>
        <v>1.4E-2</v>
      </c>
      <c r="V45" s="117"/>
      <c r="W45" s="102"/>
      <c r="X45" s="105"/>
      <c r="Y45" s="18" t="s">
        <v>46</v>
      </c>
      <c r="Z45" s="105"/>
      <c r="AA45" s="20">
        <v>3.8159999999999998</v>
      </c>
      <c r="AB45" s="105"/>
      <c r="AC45" s="105"/>
      <c r="AD45" s="105"/>
      <c r="AE45" s="105"/>
      <c r="AF45" s="110"/>
      <c r="AG45" s="18" t="s">
        <v>46</v>
      </c>
      <c r="AH45" s="105"/>
      <c r="AI45" s="20">
        <v>3.7589999999999999</v>
      </c>
      <c r="AJ45" s="105"/>
      <c r="AK45" s="105"/>
      <c r="AL45" s="105"/>
      <c r="AM45" s="105"/>
      <c r="AN45" s="110"/>
      <c r="AO45" s="74"/>
      <c r="AP45" s="76">
        <f t="shared" si="1"/>
        <v>5.699999999999994E-2</v>
      </c>
      <c r="AQ45" s="74"/>
      <c r="AS45" s="102"/>
      <c r="AT45" s="105"/>
      <c r="AU45" s="18" t="s">
        <v>46</v>
      </c>
      <c r="AV45" s="105"/>
      <c r="AW45" s="20">
        <v>3.48</v>
      </c>
      <c r="AX45" s="105"/>
      <c r="AY45" s="105"/>
      <c r="AZ45" s="105"/>
      <c r="BA45" s="105"/>
      <c r="BB45" s="110"/>
      <c r="BC45" s="50" t="s">
        <v>46</v>
      </c>
      <c r="BD45" s="105"/>
      <c r="BE45" s="20">
        <v>3.4289999999999998</v>
      </c>
      <c r="BF45" s="105"/>
      <c r="BG45" s="105"/>
      <c r="BH45" s="105"/>
      <c r="BI45" s="105"/>
      <c r="BJ45" s="110"/>
      <c r="BK45" s="74"/>
      <c r="BL45" s="76">
        <f t="shared" si="2"/>
        <v>5.1000000000000156E-2</v>
      </c>
      <c r="BN45" s="102"/>
      <c r="BO45" s="105"/>
      <c r="BP45" s="18" t="s">
        <v>46</v>
      </c>
      <c r="BQ45" s="105"/>
      <c r="BR45" s="51">
        <v>3.85</v>
      </c>
      <c r="BS45" s="105"/>
      <c r="BT45" s="105"/>
      <c r="BU45" s="105"/>
      <c r="BV45" s="105"/>
      <c r="BW45" s="110"/>
      <c r="BX45" s="18" t="s">
        <v>46</v>
      </c>
      <c r="BY45" s="105"/>
      <c r="BZ45" s="20">
        <v>3.76</v>
      </c>
      <c r="CA45" s="105"/>
      <c r="CB45" s="105"/>
      <c r="CC45" s="105"/>
      <c r="CD45" s="105"/>
      <c r="CE45" s="110"/>
      <c r="CF45" s="74"/>
      <c r="CG45" s="76">
        <f t="shared" si="3"/>
        <v>9.0000000000000302E-2</v>
      </c>
      <c r="CI45" s="102"/>
      <c r="CJ45" s="105"/>
      <c r="CK45" s="18" t="s">
        <v>46</v>
      </c>
      <c r="CL45" s="105"/>
      <c r="CM45" s="37"/>
      <c r="CN45" s="105"/>
      <c r="CO45" s="105"/>
      <c r="CP45" s="105"/>
      <c r="CQ45" s="105"/>
      <c r="CR45" s="110"/>
      <c r="CS45" s="38" t="s">
        <v>46</v>
      </c>
      <c r="CT45" s="105"/>
      <c r="CU45" s="37"/>
      <c r="CV45" s="105"/>
      <c r="CW45" s="105"/>
      <c r="CX45" s="105"/>
      <c r="CY45" s="105"/>
      <c r="CZ45" s="110"/>
      <c r="DA45" s="74"/>
      <c r="DC45" s="102"/>
      <c r="DD45" s="105"/>
      <c r="DE45" s="18" t="s">
        <v>46</v>
      </c>
      <c r="DF45" s="105"/>
      <c r="DG45" s="20">
        <v>3.742</v>
      </c>
      <c r="DH45" s="105"/>
      <c r="DI45" s="105"/>
      <c r="DJ45" s="105"/>
      <c r="DK45" s="105"/>
      <c r="DL45" s="110"/>
      <c r="DM45" s="18" t="s">
        <v>46</v>
      </c>
      <c r="DN45" s="105"/>
      <c r="DO45" s="20">
        <v>3.6734</v>
      </c>
      <c r="DP45" s="105"/>
      <c r="DQ45" s="105"/>
      <c r="DR45" s="105"/>
      <c r="DS45" s="105"/>
      <c r="DT45" s="110"/>
      <c r="DV45" s="81">
        <f t="shared" si="4"/>
        <v>-6.8599999999999994E-2</v>
      </c>
    </row>
    <row r="46" spans="1:126" ht="14.25" customHeight="1" x14ac:dyDescent="0.3">
      <c r="A46" s="102"/>
      <c r="B46" s="105"/>
      <c r="C46" s="18" t="s">
        <v>47</v>
      </c>
      <c r="D46" s="107"/>
      <c r="E46" s="70">
        <v>3513</v>
      </c>
      <c r="F46" s="105"/>
      <c r="G46" s="105"/>
      <c r="H46" s="105"/>
      <c r="I46" s="105"/>
      <c r="J46" s="110"/>
      <c r="K46" s="18" t="s">
        <v>47</v>
      </c>
      <c r="L46" s="105"/>
      <c r="M46" s="70">
        <v>3499</v>
      </c>
      <c r="N46" s="105"/>
      <c r="O46" s="105"/>
      <c r="P46" s="105"/>
      <c r="Q46" s="105"/>
      <c r="R46" s="110"/>
      <c r="T46">
        <f t="shared" si="0"/>
        <v>1.4E-2</v>
      </c>
      <c r="V46" s="117"/>
      <c r="W46" s="102"/>
      <c r="X46" s="105"/>
      <c r="Y46" s="18" t="s">
        <v>47</v>
      </c>
      <c r="Z46" s="105"/>
      <c r="AA46" s="20">
        <v>3.76</v>
      </c>
      <c r="AB46" s="105"/>
      <c r="AC46" s="105"/>
      <c r="AD46" s="105"/>
      <c r="AE46" s="105"/>
      <c r="AF46" s="110"/>
      <c r="AG46" s="18" t="s">
        <v>47</v>
      </c>
      <c r="AH46" s="105"/>
      <c r="AI46" s="20">
        <v>3.7040000000000002</v>
      </c>
      <c r="AJ46" s="105"/>
      <c r="AK46" s="105"/>
      <c r="AL46" s="105"/>
      <c r="AM46" s="105"/>
      <c r="AN46" s="110"/>
      <c r="AO46" s="74"/>
      <c r="AP46" s="76">
        <f t="shared" si="1"/>
        <v>5.5999999999999606E-2</v>
      </c>
      <c r="AQ46" s="74"/>
      <c r="AS46" s="102"/>
      <c r="AT46" s="105"/>
      <c r="AU46" s="18" t="s">
        <v>47</v>
      </c>
      <c r="AV46" s="105"/>
      <c r="AW46" s="20">
        <v>3.4630000000000001</v>
      </c>
      <c r="AX46" s="105"/>
      <c r="AY46" s="105"/>
      <c r="AZ46" s="105"/>
      <c r="BA46" s="105"/>
      <c r="BB46" s="110"/>
      <c r="BC46" s="50" t="s">
        <v>47</v>
      </c>
      <c r="BD46" s="105"/>
      <c r="BE46" s="20">
        <v>3.4159999999999999</v>
      </c>
      <c r="BF46" s="105"/>
      <c r="BG46" s="105"/>
      <c r="BH46" s="105"/>
      <c r="BI46" s="105"/>
      <c r="BJ46" s="110"/>
      <c r="BK46" s="74"/>
      <c r="BL46" s="76">
        <f t="shared" si="2"/>
        <v>4.7000000000000153E-2</v>
      </c>
      <c r="BN46" s="102"/>
      <c r="BO46" s="105"/>
      <c r="BP46" s="18" t="s">
        <v>47</v>
      </c>
      <c r="BQ46" s="105"/>
      <c r="BR46" s="51">
        <v>3.786</v>
      </c>
      <c r="BS46" s="105"/>
      <c r="BT46" s="105"/>
      <c r="BU46" s="105"/>
      <c r="BV46" s="105"/>
      <c r="BW46" s="110"/>
      <c r="BX46" s="18" t="s">
        <v>47</v>
      </c>
      <c r="BY46" s="105"/>
      <c r="BZ46" s="20">
        <v>3.6970000000000001</v>
      </c>
      <c r="CA46" s="105"/>
      <c r="CB46" s="105"/>
      <c r="CC46" s="105"/>
      <c r="CD46" s="105"/>
      <c r="CE46" s="110"/>
      <c r="CF46" s="74"/>
      <c r="CG46" s="76">
        <f t="shared" si="3"/>
        <v>8.8999999999999968E-2</v>
      </c>
      <c r="CI46" s="102"/>
      <c r="CJ46" s="105"/>
      <c r="CK46" s="18" t="s">
        <v>47</v>
      </c>
      <c r="CL46" s="105"/>
      <c r="CM46" s="37"/>
      <c r="CN46" s="105"/>
      <c r="CO46" s="105"/>
      <c r="CP46" s="105"/>
      <c r="CQ46" s="105"/>
      <c r="CR46" s="110"/>
      <c r="CS46" s="38" t="s">
        <v>47</v>
      </c>
      <c r="CT46" s="105"/>
      <c r="CU46" s="37"/>
      <c r="CV46" s="105"/>
      <c r="CW46" s="105"/>
      <c r="CX46" s="105"/>
      <c r="CY46" s="105"/>
      <c r="CZ46" s="110"/>
      <c r="DA46" s="74"/>
      <c r="DC46" s="102"/>
      <c r="DD46" s="105"/>
      <c r="DE46" s="18" t="s">
        <v>47</v>
      </c>
      <c r="DF46" s="105"/>
      <c r="DG46" s="20">
        <v>3.7029999999999998</v>
      </c>
      <c r="DH46" s="105"/>
      <c r="DI46" s="105"/>
      <c r="DJ46" s="105"/>
      <c r="DK46" s="105"/>
      <c r="DL46" s="110"/>
      <c r="DM46" s="18" t="s">
        <v>47</v>
      </c>
      <c r="DN46" s="105"/>
      <c r="DO46" s="20">
        <v>3.6970000000000001</v>
      </c>
      <c r="DP46" s="105"/>
      <c r="DQ46" s="105"/>
      <c r="DR46" s="105"/>
      <c r="DS46" s="105"/>
      <c r="DT46" s="110"/>
      <c r="DV46" s="81">
        <f t="shared" si="4"/>
        <v>-5.9999999999997833E-3</v>
      </c>
    </row>
    <row r="47" spans="1:126" ht="14.25" customHeight="1" thickBot="1" x14ac:dyDescent="0.35">
      <c r="A47" s="103"/>
      <c r="B47" s="106"/>
      <c r="C47" s="21" t="s">
        <v>48</v>
      </c>
      <c r="D47" s="126"/>
      <c r="E47" s="71">
        <v>3512</v>
      </c>
      <c r="F47" s="106"/>
      <c r="G47" s="106"/>
      <c r="H47" s="106"/>
      <c r="I47" s="106"/>
      <c r="J47" s="111"/>
      <c r="K47" s="21" t="s">
        <v>48</v>
      </c>
      <c r="L47" s="106"/>
      <c r="M47" s="71">
        <v>3502</v>
      </c>
      <c r="N47" s="106"/>
      <c r="O47" s="106"/>
      <c r="P47" s="106"/>
      <c r="Q47" s="106"/>
      <c r="R47" s="111"/>
      <c r="T47">
        <f t="shared" si="0"/>
        <v>0.01</v>
      </c>
      <c r="V47" s="117"/>
      <c r="W47" s="103"/>
      <c r="X47" s="106"/>
      <c r="Y47" s="21" t="s">
        <v>48</v>
      </c>
      <c r="Z47" s="106"/>
      <c r="AA47" s="23">
        <v>3.76</v>
      </c>
      <c r="AB47" s="106"/>
      <c r="AC47" s="106"/>
      <c r="AD47" s="106"/>
      <c r="AE47" s="106"/>
      <c r="AF47" s="111"/>
      <c r="AG47" s="21" t="s">
        <v>48</v>
      </c>
      <c r="AH47" s="106"/>
      <c r="AI47" s="23">
        <v>3.698</v>
      </c>
      <c r="AJ47" s="106"/>
      <c r="AK47" s="106"/>
      <c r="AL47" s="106"/>
      <c r="AM47" s="106"/>
      <c r="AN47" s="111"/>
      <c r="AO47" s="74"/>
      <c r="AP47" s="76">
        <f t="shared" si="1"/>
        <v>6.1999999999999833E-2</v>
      </c>
      <c r="AQ47" s="74"/>
      <c r="AS47" s="103"/>
      <c r="AT47" s="106"/>
      <c r="AU47" s="21" t="s">
        <v>48</v>
      </c>
      <c r="AV47" s="106"/>
      <c r="AW47" s="23">
        <v>3.4420000000000002</v>
      </c>
      <c r="AX47" s="106"/>
      <c r="AY47" s="106"/>
      <c r="AZ47" s="106"/>
      <c r="BA47" s="106"/>
      <c r="BB47" s="111"/>
      <c r="BC47" s="52" t="s">
        <v>48</v>
      </c>
      <c r="BD47" s="106"/>
      <c r="BE47" s="23">
        <v>3.387</v>
      </c>
      <c r="BF47" s="106"/>
      <c r="BG47" s="106"/>
      <c r="BH47" s="106"/>
      <c r="BI47" s="106"/>
      <c r="BJ47" s="111"/>
      <c r="BK47" s="74"/>
      <c r="BL47" s="76">
        <f t="shared" si="2"/>
        <v>5.500000000000016E-2</v>
      </c>
      <c r="BN47" s="103"/>
      <c r="BO47" s="106"/>
      <c r="BP47" s="21" t="s">
        <v>48</v>
      </c>
      <c r="BQ47" s="106"/>
      <c r="BR47" s="53">
        <v>3.7829999999999999</v>
      </c>
      <c r="BS47" s="106"/>
      <c r="BT47" s="106"/>
      <c r="BU47" s="106"/>
      <c r="BV47" s="106"/>
      <c r="BW47" s="111"/>
      <c r="BX47" s="21" t="s">
        <v>48</v>
      </c>
      <c r="BY47" s="106"/>
      <c r="BZ47" s="23">
        <v>3.6930000000000001</v>
      </c>
      <c r="CA47" s="106"/>
      <c r="CB47" s="106"/>
      <c r="CC47" s="106"/>
      <c r="CD47" s="106"/>
      <c r="CE47" s="111"/>
      <c r="CF47" s="74"/>
      <c r="CG47" s="76">
        <f t="shared" si="3"/>
        <v>8.9999999999999858E-2</v>
      </c>
      <c r="CI47" s="103"/>
      <c r="CJ47" s="106"/>
      <c r="CK47" s="21" t="s">
        <v>48</v>
      </c>
      <c r="CL47" s="106"/>
      <c r="CM47" s="40"/>
      <c r="CN47" s="106"/>
      <c r="CO47" s="106"/>
      <c r="CP47" s="106"/>
      <c r="CQ47" s="106"/>
      <c r="CR47" s="111"/>
      <c r="CS47" s="41" t="s">
        <v>48</v>
      </c>
      <c r="CT47" s="106"/>
      <c r="CU47" s="40"/>
      <c r="CV47" s="106"/>
      <c r="CW47" s="106"/>
      <c r="CX47" s="106"/>
      <c r="CY47" s="106"/>
      <c r="CZ47" s="111"/>
      <c r="DA47" s="74"/>
      <c r="DC47" s="103"/>
      <c r="DD47" s="106"/>
      <c r="DE47" s="21" t="s">
        <v>48</v>
      </c>
      <c r="DF47" s="106"/>
      <c r="DG47" s="23">
        <v>3.7</v>
      </c>
      <c r="DH47" s="106"/>
      <c r="DI47" s="106"/>
      <c r="DJ47" s="106"/>
      <c r="DK47" s="106"/>
      <c r="DL47" s="111"/>
      <c r="DM47" s="21" t="s">
        <v>48</v>
      </c>
      <c r="DN47" s="106"/>
      <c r="DO47" s="23">
        <v>3.694</v>
      </c>
      <c r="DP47" s="106"/>
      <c r="DQ47" s="106"/>
      <c r="DR47" s="106"/>
      <c r="DS47" s="106"/>
      <c r="DT47" s="111"/>
      <c r="DV47" s="81">
        <f t="shared" si="4"/>
        <v>-6.0000000000002274E-3</v>
      </c>
    </row>
    <row r="48" spans="1:126" ht="14.25" customHeight="1" thickBot="1" x14ac:dyDescent="0.35">
      <c r="A48" s="24"/>
      <c r="B48" s="25"/>
      <c r="C48" s="26"/>
      <c r="D48" s="25"/>
      <c r="E48" s="73"/>
      <c r="F48" s="29"/>
      <c r="G48" s="25"/>
      <c r="H48" s="25"/>
      <c r="I48" s="29"/>
      <c r="J48" s="55"/>
      <c r="K48" s="26"/>
      <c r="L48" s="25"/>
      <c r="M48" s="72"/>
      <c r="N48" s="28"/>
      <c r="O48" s="25"/>
      <c r="P48" s="25"/>
      <c r="Q48" s="29"/>
      <c r="R48" s="55"/>
      <c r="T48">
        <f t="shared" si="0"/>
        <v>0</v>
      </c>
      <c r="V48" s="16"/>
      <c r="W48" s="24"/>
      <c r="X48" s="25"/>
      <c r="Y48" s="26"/>
      <c r="Z48" s="25"/>
      <c r="AA48" s="56">
        <v>48.89</v>
      </c>
      <c r="AB48" s="29"/>
      <c r="AC48" s="25"/>
      <c r="AD48" s="25"/>
      <c r="AE48" s="29"/>
      <c r="AF48" s="55"/>
      <c r="AG48" s="26"/>
      <c r="AH48" s="25"/>
      <c r="AI48" s="31">
        <v>48.96</v>
      </c>
      <c r="AJ48" s="28"/>
      <c r="AK48" s="25"/>
      <c r="AL48" s="25"/>
      <c r="AM48" s="29"/>
      <c r="AN48" s="55"/>
      <c r="AO48" s="16"/>
      <c r="AP48" s="76">
        <f t="shared" si="1"/>
        <v>-7.0000000000000284E-2</v>
      </c>
      <c r="AQ48" s="16"/>
      <c r="AS48" s="24"/>
      <c r="AT48" s="25"/>
      <c r="AU48" s="26"/>
      <c r="AV48" s="25"/>
      <c r="AW48" s="42">
        <v>44.3</v>
      </c>
      <c r="AX48" s="28"/>
      <c r="AY48" s="25"/>
      <c r="AZ48" s="25"/>
      <c r="BA48" s="29"/>
      <c r="BB48" s="30"/>
      <c r="BC48" s="26"/>
      <c r="BD48" s="25"/>
      <c r="BE48" s="27"/>
      <c r="BF48" s="28"/>
      <c r="BG48" s="25"/>
      <c r="BH48" s="25"/>
      <c r="BI48" s="29"/>
      <c r="BJ48" s="55"/>
      <c r="BK48" s="16"/>
      <c r="BL48" s="76">
        <f t="shared" si="2"/>
        <v>44.3</v>
      </c>
      <c r="BN48" s="24"/>
      <c r="BO48" s="25"/>
      <c r="BP48" s="26"/>
      <c r="BQ48" s="25"/>
      <c r="BR48" s="56">
        <v>49.31</v>
      </c>
      <c r="BS48" s="29"/>
      <c r="BT48" s="25"/>
      <c r="BU48" s="25"/>
      <c r="BV48" s="29"/>
      <c r="BW48" s="55"/>
      <c r="BX48" s="26"/>
      <c r="BY48" s="25"/>
      <c r="BZ48" s="31">
        <v>48.1</v>
      </c>
      <c r="CA48" s="28"/>
      <c r="CB48" s="25"/>
      <c r="CC48" s="25"/>
      <c r="CD48" s="29"/>
      <c r="CE48" s="55"/>
      <c r="CF48" s="16"/>
      <c r="CG48" s="76">
        <f t="shared" si="3"/>
        <v>1.2100000000000009</v>
      </c>
      <c r="CI48" s="24"/>
      <c r="CJ48" s="25"/>
      <c r="CK48" s="26"/>
      <c r="CL48" s="43"/>
      <c r="CM48" s="57"/>
      <c r="CN48" s="58"/>
      <c r="CO48" s="43"/>
      <c r="CP48" s="43"/>
      <c r="CQ48" s="46"/>
      <c r="CR48" s="59"/>
      <c r="CS48" s="32"/>
      <c r="CT48" s="43"/>
      <c r="CU48" s="44"/>
      <c r="CV48" s="45"/>
      <c r="CW48" s="43"/>
      <c r="CX48" s="43"/>
      <c r="CY48" s="46"/>
      <c r="CZ48" s="59"/>
      <c r="DA48" s="78"/>
      <c r="DC48" s="24"/>
      <c r="DD48" s="25"/>
      <c r="DE48" s="26"/>
      <c r="DF48" s="25"/>
      <c r="DG48" s="56">
        <v>48.17</v>
      </c>
      <c r="DH48" s="29"/>
      <c r="DI48" s="25"/>
      <c r="DJ48" s="25"/>
      <c r="DK48" s="29"/>
      <c r="DL48" s="55"/>
      <c r="DM48" s="26"/>
      <c r="DN48" s="25"/>
      <c r="DO48" s="31">
        <v>48.08</v>
      </c>
      <c r="DP48" s="28"/>
      <c r="DQ48" s="25"/>
      <c r="DR48" s="25"/>
      <c r="DS48" s="29"/>
      <c r="DT48" s="55"/>
      <c r="DV48" s="81">
        <f t="shared" si="4"/>
        <v>-9.0000000000003411E-2</v>
      </c>
    </row>
    <row r="49" spans="1:126" ht="14.25" customHeight="1" x14ac:dyDescent="0.3">
      <c r="A49" s="142">
        <v>4</v>
      </c>
      <c r="B49" s="131" t="s">
        <v>28</v>
      </c>
      <c r="C49" s="82" t="s">
        <v>29</v>
      </c>
      <c r="D49" s="131">
        <v>33.700000000000003</v>
      </c>
      <c r="E49" s="83">
        <v>3496</v>
      </c>
      <c r="F49" s="141">
        <v>0.32</v>
      </c>
      <c r="G49" s="131">
        <v>40</v>
      </c>
      <c r="H49" s="131">
        <v>28</v>
      </c>
      <c r="I49" s="141">
        <v>1</v>
      </c>
      <c r="J49" s="128" t="s">
        <v>68</v>
      </c>
      <c r="K49" s="82" t="s">
        <v>29</v>
      </c>
      <c r="L49" s="131">
        <v>34.799999999999997</v>
      </c>
      <c r="M49" s="84">
        <v>3562</v>
      </c>
      <c r="N49" s="134">
        <v>0.27</v>
      </c>
      <c r="O49" s="131">
        <v>46</v>
      </c>
      <c r="P49" s="131">
        <v>27</v>
      </c>
      <c r="Q49" s="141">
        <v>1</v>
      </c>
      <c r="R49" s="128" t="s">
        <v>69</v>
      </c>
      <c r="S49" s="85"/>
      <c r="T49" s="85">
        <f t="shared" si="0"/>
        <v>-6.6000000000000003E-2</v>
      </c>
      <c r="V49" s="116"/>
      <c r="W49" s="101">
        <v>4</v>
      </c>
      <c r="X49" s="104" t="s">
        <v>28</v>
      </c>
      <c r="Y49" s="12" t="s">
        <v>29</v>
      </c>
      <c r="Z49" s="104">
        <v>33.799999999999997</v>
      </c>
      <c r="AA49" s="49">
        <v>3.657</v>
      </c>
      <c r="AB49" s="108">
        <v>0.65</v>
      </c>
      <c r="AC49" s="104">
        <v>52</v>
      </c>
      <c r="AD49" s="104">
        <v>29</v>
      </c>
      <c r="AE49" s="108">
        <v>1</v>
      </c>
      <c r="AF49" s="135" t="s">
        <v>70</v>
      </c>
      <c r="AG49" s="12" t="s">
        <v>29</v>
      </c>
      <c r="AH49" s="104">
        <v>35.799999999999997</v>
      </c>
      <c r="AI49" s="17">
        <v>3.6240000000000001</v>
      </c>
      <c r="AJ49" s="112">
        <v>0.62</v>
      </c>
      <c r="AK49" s="104">
        <v>57</v>
      </c>
      <c r="AL49" s="104">
        <v>28</v>
      </c>
      <c r="AM49" s="108">
        <v>1</v>
      </c>
      <c r="AN49" s="135" t="s">
        <v>71</v>
      </c>
      <c r="AO49" s="16"/>
      <c r="AP49" s="76">
        <f t="shared" si="1"/>
        <v>3.2999999999999918E-2</v>
      </c>
      <c r="AQ49" s="16"/>
      <c r="AS49" s="101">
        <v>4</v>
      </c>
      <c r="AT49" s="104" t="s">
        <v>28</v>
      </c>
      <c r="AU49" s="12" t="s">
        <v>29</v>
      </c>
      <c r="AV49" s="104">
        <v>40.1</v>
      </c>
      <c r="AW49" s="49">
        <v>3.4380000000000002</v>
      </c>
      <c r="AX49" s="108">
        <v>0.35</v>
      </c>
      <c r="AY49" s="104">
        <v>55</v>
      </c>
      <c r="AZ49" s="104">
        <v>28</v>
      </c>
      <c r="BA49" s="108">
        <v>1</v>
      </c>
      <c r="BB49" s="136" t="s">
        <v>72</v>
      </c>
      <c r="BC49" s="12" t="s">
        <v>29</v>
      </c>
      <c r="BD49" s="104">
        <v>41.8</v>
      </c>
      <c r="BE49" s="17">
        <v>3.3980000000000001</v>
      </c>
      <c r="BF49" s="112">
        <v>0.26</v>
      </c>
      <c r="BG49" s="104">
        <v>56</v>
      </c>
      <c r="BH49" s="104">
        <v>28</v>
      </c>
      <c r="BI49" s="108">
        <v>1</v>
      </c>
      <c r="BJ49" s="136" t="s">
        <v>73</v>
      </c>
      <c r="BK49" s="78"/>
      <c r="BL49" s="76">
        <f t="shared" si="2"/>
        <v>4.0000000000000036E-2</v>
      </c>
      <c r="BN49" s="101">
        <v>4</v>
      </c>
      <c r="BO49" s="104" t="s">
        <v>28</v>
      </c>
      <c r="BP49" s="12" t="s">
        <v>29</v>
      </c>
      <c r="BQ49" s="137"/>
      <c r="BR49" s="61"/>
      <c r="BS49" s="127"/>
      <c r="BT49" s="137"/>
      <c r="BU49" s="137"/>
      <c r="BV49" s="127">
        <v>1</v>
      </c>
      <c r="BW49" s="136"/>
      <c r="BX49" s="12" t="s">
        <v>29</v>
      </c>
      <c r="BY49" s="104"/>
      <c r="BZ49" s="13"/>
      <c r="CA49" s="112"/>
      <c r="CB49" s="104"/>
      <c r="CC49" s="104"/>
      <c r="CD49" s="108">
        <v>1</v>
      </c>
      <c r="CE49" s="135"/>
      <c r="CF49" s="16"/>
      <c r="CG49" s="76">
        <f t="shared" si="3"/>
        <v>0</v>
      </c>
      <c r="CI49" s="101">
        <v>4</v>
      </c>
      <c r="CJ49" s="104" t="s">
        <v>28</v>
      </c>
      <c r="CK49" s="12" t="s">
        <v>29</v>
      </c>
      <c r="CL49" s="137"/>
      <c r="CM49" s="61"/>
      <c r="CN49" s="127"/>
      <c r="CO49" s="137"/>
      <c r="CP49" s="137"/>
      <c r="CQ49" s="138">
        <v>1</v>
      </c>
      <c r="CR49" s="136"/>
      <c r="CS49" s="35" t="s">
        <v>29</v>
      </c>
      <c r="CT49" s="137"/>
      <c r="CU49" s="34"/>
      <c r="CV49" s="139"/>
      <c r="CW49" s="137"/>
      <c r="CX49" s="137"/>
      <c r="CY49" s="138">
        <v>1</v>
      </c>
      <c r="CZ49" s="136"/>
      <c r="DA49" s="78"/>
      <c r="DC49" s="101">
        <v>4</v>
      </c>
      <c r="DD49" s="104" t="s">
        <v>28</v>
      </c>
      <c r="DE49" s="12" t="s">
        <v>29</v>
      </c>
      <c r="DF49" s="104">
        <v>35</v>
      </c>
      <c r="DG49" s="49">
        <v>3.6829999999999998</v>
      </c>
      <c r="DH49" s="108">
        <v>0.53</v>
      </c>
      <c r="DI49" s="104">
        <v>46</v>
      </c>
      <c r="DJ49" s="104">
        <v>29</v>
      </c>
      <c r="DK49" s="108">
        <v>1</v>
      </c>
      <c r="DL49" s="135" t="s">
        <v>74</v>
      </c>
      <c r="DM49" s="12" t="s">
        <v>29</v>
      </c>
      <c r="DN49" s="104">
        <v>34.799999999999997</v>
      </c>
      <c r="DO49" s="13">
        <v>3.6709999999999998</v>
      </c>
      <c r="DP49" s="112">
        <v>0.53</v>
      </c>
      <c r="DQ49" s="104">
        <v>49</v>
      </c>
      <c r="DR49" s="104">
        <v>28</v>
      </c>
      <c r="DS49" s="108">
        <v>1</v>
      </c>
      <c r="DT49" s="135">
        <v>691</v>
      </c>
      <c r="DV49" s="81">
        <f t="shared" si="4"/>
        <v>-1.2000000000000011E-2</v>
      </c>
    </row>
    <row r="50" spans="1:126" ht="14.25" customHeight="1" x14ac:dyDescent="0.3">
      <c r="A50" s="143"/>
      <c r="B50" s="132"/>
      <c r="C50" s="86" t="s">
        <v>37</v>
      </c>
      <c r="D50" s="132"/>
      <c r="E50" s="87">
        <v>3490</v>
      </c>
      <c r="F50" s="132"/>
      <c r="G50" s="132"/>
      <c r="H50" s="132"/>
      <c r="I50" s="132"/>
      <c r="J50" s="129"/>
      <c r="K50" s="86" t="s">
        <v>37</v>
      </c>
      <c r="L50" s="132"/>
      <c r="M50" s="88">
        <v>3564</v>
      </c>
      <c r="N50" s="132"/>
      <c r="O50" s="132"/>
      <c r="P50" s="132"/>
      <c r="Q50" s="132"/>
      <c r="R50" s="129"/>
      <c r="S50" s="85"/>
      <c r="T50" s="85">
        <f t="shared" si="0"/>
        <v>-7.3999999999999996E-2</v>
      </c>
      <c r="V50" s="117"/>
      <c r="W50" s="102"/>
      <c r="X50" s="105"/>
      <c r="Y50" s="18" t="s">
        <v>37</v>
      </c>
      <c r="Z50" s="105"/>
      <c r="AA50" s="51">
        <v>3.6539999999999999</v>
      </c>
      <c r="AB50" s="105"/>
      <c r="AC50" s="105"/>
      <c r="AD50" s="105"/>
      <c r="AE50" s="105"/>
      <c r="AF50" s="110"/>
      <c r="AG50" s="18" t="s">
        <v>37</v>
      </c>
      <c r="AH50" s="105"/>
      <c r="AI50" s="20">
        <v>3.6190000000000002</v>
      </c>
      <c r="AJ50" s="105"/>
      <c r="AK50" s="105"/>
      <c r="AL50" s="105"/>
      <c r="AM50" s="105"/>
      <c r="AN50" s="110"/>
      <c r="AO50" s="74"/>
      <c r="AP50" s="76">
        <f t="shared" si="1"/>
        <v>3.4999999999999698E-2</v>
      </c>
      <c r="AQ50" s="74"/>
      <c r="AS50" s="102"/>
      <c r="AT50" s="105"/>
      <c r="AU50" s="18" t="s">
        <v>37</v>
      </c>
      <c r="AV50" s="105"/>
      <c r="AW50" s="51">
        <v>3.4510000000000001</v>
      </c>
      <c r="AX50" s="105"/>
      <c r="AY50" s="105"/>
      <c r="AZ50" s="105"/>
      <c r="BA50" s="105"/>
      <c r="BB50" s="110"/>
      <c r="BC50" s="18" t="s">
        <v>37</v>
      </c>
      <c r="BD50" s="105"/>
      <c r="BE50" s="20">
        <v>3.4049999999999998</v>
      </c>
      <c r="BF50" s="105"/>
      <c r="BG50" s="105"/>
      <c r="BH50" s="105"/>
      <c r="BI50" s="105"/>
      <c r="BJ50" s="110"/>
      <c r="BK50" s="74"/>
      <c r="BL50" s="76">
        <f t="shared" si="2"/>
        <v>4.6000000000000263E-2</v>
      </c>
      <c r="BN50" s="102"/>
      <c r="BO50" s="105"/>
      <c r="BP50" s="18" t="s">
        <v>37</v>
      </c>
      <c r="BQ50" s="105"/>
      <c r="BR50" s="57"/>
      <c r="BS50" s="105"/>
      <c r="BT50" s="105"/>
      <c r="BU50" s="105"/>
      <c r="BV50" s="105"/>
      <c r="BW50" s="110"/>
      <c r="BX50" s="18" t="s">
        <v>37</v>
      </c>
      <c r="BY50" s="105"/>
      <c r="BZ50" s="19"/>
      <c r="CA50" s="105"/>
      <c r="CB50" s="105"/>
      <c r="CC50" s="105"/>
      <c r="CD50" s="105"/>
      <c r="CE50" s="110"/>
      <c r="CF50" s="74"/>
      <c r="CG50" s="76">
        <f t="shared" si="3"/>
        <v>0</v>
      </c>
      <c r="CI50" s="102"/>
      <c r="CJ50" s="105"/>
      <c r="CK50" s="18" t="s">
        <v>37</v>
      </c>
      <c r="CL50" s="105"/>
      <c r="CM50" s="57"/>
      <c r="CN50" s="105"/>
      <c r="CO50" s="105"/>
      <c r="CP50" s="105"/>
      <c r="CQ50" s="105"/>
      <c r="CR50" s="110"/>
      <c r="CS50" s="38" t="s">
        <v>37</v>
      </c>
      <c r="CT50" s="105"/>
      <c r="CU50" s="37"/>
      <c r="CV50" s="105"/>
      <c r="CW50" s="105"/>
      <c r="CX50" s="105"/>
      <c r="CY50" s="105"/>
      <c r="CZ50" s="110"/>
      <c r="DA50" s="74"/>
      <c r="DC50" s="102"/>
      <c r="DD50" s="105"/>
      <c r="DE50" s="18" t="s">
        <v>37</v>
      </c>
      <c r="DF50" s="105"/>
      <c r="DG50" s="51">
        <v>3.6869999999999998</v>
      </c>
      <c r="DH50" s="105"/>
      <c r="DI50" s="105"/>
      <c r="DJ50" s="105"/>
      <c r="DK50" s="105"/>
      <c r="DL50" s="110"/>
      <c r="DM50" s="18" t="s">
        <v>37</v>
      </c>
      <c r="DN50" s="105"/>
      <c r="DO50" s="19">
        <v>3.6749999999999998</v>
      </c>
      <c r="DP50" s="105"/>
      <c r="DQ50" s="105"/>
      <c r="DR50" s="105"/>
      <c r="DS50" s="105"/>
      <c r="DT50" s="110"/>
      <c r="DV50" s="81">
        <f t="shared" si="4"/>
        <v>-1.2000000000000011E-2</v>
      </c>
    </row>
    <row r="51" spans="1:126" ht="14.25" customHeight="1" x14ac:dyDescent="0.3">
      <c r="A51" s="143"/>
      <c r="B51" s="132"/>
      <c r="C51" s="86" t="s">
        <v>38</v>
      </c>
      <c r="D51" s="132"/>
      <c r="E51" s="87">
        <v>3517</v>
      </c>
      <c r="F51" s="132"/>
      <c r="G51" s="132"/>
      <c r="H51" s="132"/>
      <c r="I51" s="132"/>
      <c r="J51" s="129"/>
      <c r="K51" s="86" t="s">
        <v>38</v>
      </c>
      <c r="L51" s="132"/>
      <c r="M51" s="88">
        <v>3562</v>
      </c>
      <c r="N51" s="132"/>
      <c r="O51" s="132"/>
      <c r="P51" s="132"/>
      <c r="Q51" s="132"/>
      <c r="R51" s="129"/>
      <c r="S51" s="85"/>
      <c r="T51" s="85">
        <f t="shared" si="0"/>
        <v>-4.4999999999999998E-2</v>
      </c>
      <c r="V51" s="117"/>
      <c r="W51" s="102"/>
      <c r="X51" s="105"/>
      <c r="Y51" s="18" t="s">
        <v>38</v>
      </c>
      <c r="Z51" s="105"/>
      <c r="AA51" s="51">
        <v>3.6629999999999998</v>
      </c>
      <c r="AB51" s="105"/>
      <c r="AC51" s="105"/>
      <c r="AD51" s="105"/>
      <c r="AE51" s="105"/>
      <c r="AF51" s="110"/>
      <c r="AG51" s="18" t="s">
        <v>38</v>
      </c>
      <c r="AH51" s="105"/>
      <c r="AI51" s="20">
        <v>3.6179999999999999</v>
      </c>
      <c r="AJ51" s="105"/>
      <c r="AK51" s="105"/>
      <c r="AL51" s="105"/>
      <c r="AM51" s="105"/>
      <c r="AN51" s="110"/>
      <c r="AO51" s="74"/>
      <c r="AP51" s="76">
        <f t="shared" si="1"/>
        <v>4.4999999999999929E-2</v>
      </c>
      <c r="AQ51" s="74"/>
      <c r="AS51" s="102"/>
      <c r="AT51" s="105"/>
      <c r="AU51" s="18" t="s">
        <v>38</v>
      </c>
      <c r="AV51" s="105"/>
      <c r="AW51" s="51">
        <v>3.4569999999999999</v>
      </c>
      <c r="AX51" s="105"/>
      <c r="AY51" s="105"/>
      <c r="AZ51" s="105"/>
      <c r="BA51" s="105"/>
      <c r="BB51" s="110"/>
      <c r="BC51" s="18" t="s">
        <v>38</v>
      </c>
      <c r="BD51" s="105"/>
      <c r="BE51" s="20">
        <v>3.41</v>
      </c>
      <c r="BF51" s="105"/>
      <c r="BG51" s="105"/>
      <c r="BH51" s="105"/>
      <c r="BI51" s="105"/>
      <c r="BJ51" s="110"/>
      <c r="BK51" s="74"/>
      <c r="BL51" s="76">
        <f t="shared" si="2"/>
        <v>4.6999999999999709E-2</v>
      </c>
      <c r="BN51" s="102"/>
      <c r="BO51" s="105"/>
      <c r="BP51" s="18" t="s">
        <v>38</v>
      </c>
      <c r="BQ51" s="105"/>
      <c r="BR51" s="57"/>
      <c r="BS51" s="105"/>
      <c r="BT51" s="105"/>
      <c r="BU51" s="105"/>
      <c r="BV51" s="105"/>
      <c r="BW51" s="110"/>
      <c r="BX51" s="18" t="s">
        <v>38</v>
      </c>
      <c r="BY51" s="105"/>
      <c r="BZ51" s="19"/>
      <c r="CA51" s="105"/>
      <c r="CB51" s="105"/>
      <c r="CC51" s="105"/>
      <c r="CD51" s="105"/>
      <c r="CE51" s="110"/>
      <c r="CF51" s="74"/>
      <c r="CG51" s="76">
        <f t="shared" si="3"/>
        <v>0</v>
      </c>
      <c r="CI51" s="102"/>
      <c r="CJ51" s="105"/>
      <c r="CK51" s="18" t="s">
        <v>38</v>
      </c>
      <c r="CL51" s="105"/>
      <c r="CM51" s="57"/>
      <c r="CN51" s="105"/>
      <c r="CO51" s="105"/>
      <c r="CP51" s="105"/>
      <c r="CQ51" s="105"/>
      <c r="CR51" s="110"/>
      <c r="CS51" s="38" t="s">
        <v>38</v>
      </c>
      <c r="CT51" s="105"/>
      <c r="CU51" s="37"/>
      <c r="CV51" s="105"/>
      <c r="CW51" s="105"/>
      <c r="CX51" s="105"/>
      <c r="CY51" s="105"/>
      <c r="CZ51" s="110"/>
      <c r="DA51" s="74"/>
      <c r="DC51" s="102"/>
      <c r="DD51" s="105"/>
      <c r="DE51" s="18" t="s">
        <v>38</v>
      </c>
      <c r="DF51" s="105"/>
      <c r="DG51" s="51">
        <v>3.6840000000000002</v>
      </c>
      <c r="DH51" s="105"/>
      <c r="DI51" s="105"/>
      <c r="DJ51" s="105"/>
      <c r="DK51" s="105"/>
      <c r="DL51" s="110"/>
      <c r="DM51" s="18" t="s">
        <v>38</v>
      </c>
      <c r="DN51" s="105"/>
      <c r="DO51" s="19">
        <v>3.6720000000000002</v>
      </c>
      <c r="DP51" s="105"/>
      <c r="DQ51" s="105"/>
      <c r="DR51" s="105"/>
      <c r="DS51" s="105"/>
      <c r="DT51" s="110"/>
      <c r="DV51" s="81">
        <f t="shared" si="4"/>
        <v>-1.2000000000000011E-2</v>
      </c>
    </row>
    <row r="52" spans="1:126" ht="14.4" x14ac:dyDescent="0.3">
      <c r="A52" s="143"/>
      <c r="B52" s="132"/>
      <c r="C52" s="86" t="s">
        <v>39</v>
      </c>
      <c r="D52" s="132"/>
      <c r="E52" s="87">
        <v>3494</v>
      </c>
      <c r="F52" s="132"/>
      <c r="G52" s="132"/>
      <c r="H52" s="132"/>
      <c r="I52" s="132"/>
      <c r="J52" s="129"/>
      <c r="K52" s="86" t="s">
        <v>39</v>
      </c>
      <c r="L52" s="132"/>
      <c r="M52" s="88">
        <v>3563</v>
      </c>
      <c r="N52" s="132"/>
      <c r="O52" s="132"/>
      <c r="P52" s="132"/>
      <c r="Q52" s="132"/>
      <c r="R52" s="129"/>
      <c r="S52" s="85"/>
      <c r="T52" s="85">
        <f t="shared" si="0"/>
        <v>-6.9000000000000006E-2</v>
      </c>
      <c r="V52" s="117"/>
      <c r="W52" s="102"/>
      <c r="X52" s="105"/>
      <c r="Y52" s="18" t="s">
        <v>39</v>
      </c>
      <c r="Z52" s="105"/>
      <c r="AA52" s="51">
        <v>3.6629999999999998</v>
      </c>
      <c r="AB52" s="105"/>
      <c r="AC52" s="105"/>
      <c r="AD52" s="105"/>
      <c r="AE52" s="105"/>
      <c r="AF52" s="110"/>
      <c r="AG52" s="18" t="s">
        <v>39</v>
      </c>
      <c r="AH52" s="105"/>
      <c r="AI52" s="20">
        <v>3.6139999999999999</v>
      </c>
      <c r="AJ52" s="105"/>
      <c r="AK52" s="105"/>
      <c r="AL52" s="105"/>
      <c r="AM52" s="105"/>
      <c r="AN52" s="110"/>
      <c r="AO52" s="74"/>
      <c r="AP52" s="76">
        <f t="shared" si="1"/>
        <v>4.8999999999999932E-2</v>
      </c>
      <c r="AQ52" s="74"/>
      <c r="AS52" s="102"/>
      <c r="AT52" s="105"/>
      <c r="AU52" s="18" t="s">
        <v>39</v>
      </c>
      <c r="AV52" s="105"/>
      <c r="AW52" s="51">
        <v>3.448</v>
      </c>
      <c r="AX52" s="105"/>
      <c r="AY52" s="105"/>
      <c r="AZ52" s="105"/>
      <c r="BA52" s="105"/>
      <c r="BB52" s="110"/>
      <c r="BC52" s="18" t="s">
        <v>39</v>
      </c>
      <c r="BD52" s="105"/>
      <c r="BE52" s="20">
        <v>3.4039999999999999</v>
      </c>
      <c r="BF52" s="105"/>
      <c r="BG52" s="105"/>
      <c r="BH52" s="105"/>
      <c r="BI52" s="105"/>
      <c r="BJ52" s="110"/>
      <c r="BK52" s="74"/>
      <c r="BL52" s="76">
        <f t="shared" si="2"/>
        <v>4.4000000000000039E-2</v>
      </c>
      <c r="BN52" s="102"/>
      <c r="BO52" s="105"/>
      <c r="BP52" s="18" t="s">
        <v>39</v>
      </c>
      <c r="BQ52" s="105"/>
      <c r="BR52" s="57"/>
      <c r="BS52" s="105"/>
      <c r="BT52" s="105"/>
      <c r="BU52" s="105"/>
      <c r="BV52" s="105"/>
      <c r="BW52" s="110"/>
      <c r="BX52" s="18" t="s">
        <v>39</v>
      </c>
      <c r="BY52" s="105"/>
      <c r="BZ52" s="19"/>
      <c r="CA52" s="105"/>
      <c r="CB52" s="105"/>
      <c r="CC52" s="105"/>
      <c r="CD52" s="105"/>
      <c r="CE52" s="110"/>
      <c r="CF52" s="74"/>
      <c r="CG52" s="76">
        <f t="shared" si="3"/>
        <v>0</v>
      </c>
      <c r="CI52" s="102"/>
      <c r="CJ52" s="105"/>
      <c r="CK52" s="18" t="s">
        <v>39</v>
      </c>
      <c r="CL52" s="105"/>
      <c r="CM52" s="57"/>
      <c r="CN52" s="105"/>
      <c r="CO52" s="105"/>
      <c r="CP52" s="105"/>
      <c r="CQ52" s="105"/>
      <c r="CR52" s="110"/>
      <c r="CS52" s="38" t="s">
        <v>39</v>
      </c>
      <c r="CT52" s="105"/>
      <c r="CU52" s="37"/>
      <c r="CV52" s="105"/>
      <c r="CW52" s="105"/>
      <c r="CX52" s="105"/>
      <c r="CY52" s="105"/>
      <c r="CZ52" s="110"/>
      <c r="DA52" s="74"/>
      <c r="DC52" s="102"/>
      <c r="DD52" s="105"/>
      <c r="DE52" s="18" t="s">
        <v>39</v>
      </c>
      <c r="DF52" s="105"/>
      <c r="DG52" s="51">
        <v>3.6829999999999998</v>
      </c>
      <c r="DH52" s="105"/>
      <c r="DI52" s="105"/>
      <c r="DJ52" s="105"/>
      <c r="DK52" s="105"/>
      <c r="DL52" s="110"/>
      <c r="DM52" s="18" t="s">
        <v>39</v>
      </c>
      <c r="DN52" s="105"/>
      <c r="DO52" s="19">
        <v>3.6709999999999998</v>
      </c>
      <c r="DP52" s="105"/>
      <c r="DQ52" s="105"/>
      <c r="DR52" s="105"/>
      <c r="DS52" s="105"/>
      <c r="DT52" s="110"/>
      <c r="DV52" s="81">
        <f t="shared" si="4"/>
        <v>-1.2000000000000011E-2</v>
      </c>
    </row>
    <row r="53" spans="1:126" ht="14.25" customHeight="1" x14ac:dyDescent="0.3">
      <c r="A53" s="143"/>
      <c r="B53" s="132"/>
      <c r="C53" s="86" t="s">
        <v>40</v>
      </c>
      <c r="D53" s="132"/>
      <c r="E53" s="87">
        <v>3491</v>
      </c>
      <c r="F53" s="132"/>
      <c r="G53" s="132"/>
      <c r="H53" s="132"/>
      <c r="I53" s="132"/>
      <c r="J53" s="129"/>
      <c r="K53" s="86" t="s">
        <v>40</v>
      </c>
      <c r="L53" s="132"/>
      <c r="M53" s="88">
        <v>3561</v>
      </c>
      <c r="N53" s="132"/>
      <c r="O53" s="132"/>
      <c r="P53" s="132"/>
      <c r="Q53" s="132"/>
      <c r="R53" s="129"/>
      <c r="S53" s="85"/>
      <c r="T53" s="85">
        <f t="shared" si="0"/>
        <v>-7.0000000000000007E-2</v>
      </c>
      <c r="V53" s="117"/>
      <c r="W53" s="102"/>
      <c r="X53" s="105"/>
      <c r="Y53" s="18" t="s">
        <v>40</v>
      </c>
      <c r="Z53" s="105"/>
      <c r="AA53" s="51">
        <v>3.6469999999999998</v>
      </c>
      <c r="AB53" s="105"/>
      <c r="AC53" s="105"/>
      <c r="AD53" s="105"/>
      <c r="AE53" s="105"/>
      <c r="AF53" s="110"/>
      <c r="AG53" s="18" t="s">
        <v>40</v>
      </c>
      <c r="AH53" s="105"/>
      <c r="AI53" s="20">
        <v>3.625</v>
      </c>
      <c r="AJ53" s="105"/>
      <c r="AK53" s="105"/>
      <c r="AL53" s="105"/>
      <c r="AM53" s="105"/>
      <c r="AN53" s="110"/>
      <c r="AO53" s="74"/>
      <c r="AP53" s="76">
        <f t="shared" si="1"/>
        <v>2.1999999999999797E-2</v>
      </c>
      <c r="AQ53" s="74"/>
      <c r="AS53" s="102"/>
      <c r="AT53" s="105"/>
      <c r="AU53" s="18" t="s">
        <v>40</v>
      </c>
      <c r="AV53" s="105"/>
      <c r="AW53" s="51">
        <v>3.5539999999999998</v>
      </c>
      <c r="AX53" s="105"/>
      <c r="AY53" s="105"/>
      <c r="AZ53" s="105"/>
      <c r="BA53" s="105"/>
      <c r="BB53" s="110"/>
      <c r="BC53" s="18" t="s">
        <v>40</v>
      </c>
      <c r="BD53" s="105"/>
      <c r="BE53" s="20">
        <v>3.4</v>
      </c>
      <c r="BF53" s="105"/>
      <c r="BG53" s="105"/>
      <c r="BH53" s="105"/>
      <c r="BI53" s="105"/>
      <c r="BJ53" s="110"/>
      <c r="BK53" s="74"/>
      <c r="BL53" s="76">
        <f t="shared" si="2"/>
        <v>0.15399999999999991</v>
      </c>
      <c r="BN53" s="102"/>
      <c r="BO53" s="105"/>
      <c r="BP53" s="18" t="s">
        <v>40</v>
      </c>
      <c r="BQ53" s="105"/>
      <c r="BR53" s="57"/>
      <c r="BS53" s="105"/>
      <c r="BT53" s="105"/>
      <c r="BU53" s="105"/>
      <c r="BV53" s="105"/>
      <c r="BW53" s="110"/>
      <c r="BX53" s="18" t="s">
        <v>40</v>
      </c>
      <c r="BY53" s="105"/>
      <c r="BZ53" s="19"/>
      <c r="CA53" s="105"/>
      <c r="CB53" s="105"/>
      <c r="CC53" s="105"/>
      <c r="CD53" s="105"/>
      <c r="CE53" s="110"/>
      <c r="CF53" s="74"/>
      <c r="CG53" s="76">
        <f t="shared" si="3"/>
        <v>0</v>
      </c>
      <c r="CI53" s="102"/>
      <c r="CJ53" s="105"/>
      <c r="CK53" s="18" t="s">
        <v>40</v>
      </c>
      <c r="CL53" s="105"/>
      <c r="CM53" s="57"/>
      <c r="CN53" s="105"/>
      <c r="CO53" s="105"/>
      <c r="CP53" s="105"/>
      <c r="CQ53" s="105"/>
      <c r="CR53" s="110"/>
      <c r="CS53" s="38" t="s">
        <v>40</v>
      </c>
      <c r="CT53" s="105"/>
      <c r="CU53" s="37"/>
      <c r="CV53" s="105"/>
      <c r="CW53" s="105"/>
      <c r="CX53" s="105"/>
      <c r="CY53" s="105"/>
      <c r="CZ53" s="110"/>
      <c r="DA53" s="74"/>
      <c r="DC53" s="102"/>
      <c r="DD53" s="105"/>
      <c r="DE53" s="18" t="s">
        <v>40</v>
      </c>
      <c r="DF53" s="105"/>
      <c r="DG53" s="51">
        <v>3.6819999999999999</v>
      </c>
      <c r="DH53" s="105"/>
      <c r="DI53" s="105"/>
      <c r="DJ53" s="105"/>
      <c r="DK53" s="105"/>
      <c r="DL53" s="110"/>
      <c r="DM53" s="18" t="s">
        <v>40</v>
      </c>
      <c r="DN53" s="105"/>
      <c r="DO53" s="19">
        <v>3.6720000000000002</v>
      </c>
      <c r="DP53" s="105"/>
      <c r="DQ53" s="105"/>
      <c r="DR53" s="105"/>
      <c r="DS53" s="105"/>
      <c r="DT53" s="110"/>
      <c r="DV53" s="81">
        <f t="shared" si="4"/>
        <v>-9.9999999999997868E-3</v>
      </c>
    </row>
    <row r="54" spans="1:126" ht="14.25" customHeight="1" x14ac:dyDescent="0.3">
      <c r="A54" s="143"/>
      <c r="B54" s="132"/>
      <c r="C54" s="86" t="s">
        <v>41</v>
      </c>
      <c r="D54" s="132"/>
      <c r="E54" s="87">
        <v>3456</v>
      </c>
      <c r="F54" s="132"/>
      <c r="G54" s="132"/>
      <c r="H54" s="132"/>
      <c r="I54" s="132"/>
      <c r="J54" s="129"/>
      <c r="K54" s="86" t="s">
        <v>41</v>
      </c>
      <c r="L54" s="132"/>
      <c r="M54" s="88">
        <v>3564</v>
      </c>
      <c r="N54" s="132"/>
      <c r="O54" s="132"/>
      <c r="P54" s="132"/>
      <c r="Q54" s="132"/>
      <c r="R54" s="129"/>
      <c r="S54" s="85"/>
      <c r="T54" s="85">
        <f t="shared" si="0"/>
        <v>-0.108</v>
      </c>
      <c r="V54" s="117"/>
      <c r="W54" s="102"/>
      <c r="X54" s="105"/>
      <c r="Y54" s="18" t="s">
        <v>41</v>
      </c>
      <c r="Z54" s="105"/>
      <c r="AA54" s="51">
        <v>3.6629999999999998</v>
      </c>
      <c r="AB54" s="105"/>
      <c r="AC54" s="105"/>
      <c r="AD54" s="105"/>
      <c r="AE54" s="105"/>
      <c r="AF54" s="110"/>
      <c r="AG54" s="18" t="s">
        <v>41</v>
      </c>
      <c r="AH54" s="105"/>
      <c r="AI54" s="20">
        <v>3.6070000000000002</v>
      </c>
      <c r="AJ54" s="105"/>
      <c r="AK54" s="105"/>
      <c r="AL54" s="105"/>
      <c r="AM54" s="105"/>
      <c r="AN54" s="110"/>
      <c r="AO54" s="74">
        <f>AH49-Z49</f>
        <v>2</v>
      </c>
      <c r="AP54" s="76">
        <f t="shared" si="1"/>
        <v>5.5999999999999606E-2</v>
      </c>
      <c r="AQ54" s="74"/>
      <c r="AS54" s="102"/>
      <c r="AT54" s="105"/>
      <c r="AU54" s="18" t="s">
        <v>41</v>
      </c>
      <c r="AV54" s="105"/>
      <c r="AW54" s="51">
        <v>3.419</v>
      </c>
      <c r="AX54" s="105"/>
      <c r="AY54" s="105"/>
      <c r="AZ54" s="105"/>
      <c r="BA54" s="105"/>
      <c r="BB54" s="110"/>
      <c r="BC54" s="18" t="s">
        <v>41</v>
      </c>
      <c r="BD54" s="105"/>
      <c r="BE54" s="20">
        <v>3.383</v>
      </c>
      <c r="BF54" s="105"/>
      <c r="BG54" s="105"/>
      <c r="BH54" s="105"/>
      <c r="BI54" s="105"/>
      <c r="BJ54" s="110"/>
      <c r="BK54" s="74"/>
      <c r="BL54" s="76">
        <f t="shared" si="2"/>
        <v>3.6000000000000032E-2</v>
      </c>
      <c r="BN54" s="102"/>
      <c r="BO54" s="105"/>
      <c r="BP54" s="18" t="s">
        <v>41</v>
      </c>
      <c r="BQ54" s="105"/>
      <c r="BR54" s="57"/>
      <c r="BS54" s="105"/>
      <c r="BT54" s="105"/>
      <c r="BU54" s="105"/>
      <c r="BV54" s="105"/>
      <c r="BW54" s="110"/>
      <c r="BX54" s="18" t="s">
        <v>41</v>
      </c>
      <c r="BY54" s="105"/>
      <c r="BZ54" s="19"/>
      <c r="CA54" s="105"/>
      <c r="CB54" s="105"/>
      <c r="CC54" s="105"/>
      <c r="CD54" s="105"/>
      <c r="CE54" s="110"/>
      <c r="CF54" s="74"/>
      <c r="CG54" s="76">
        <f t="shared" si="3"/>
        <v>0</v>
      </c>
      <c r="CI54" s="102"/>
      <c r="CJ54" s="105"/>
      <c r="CK54" s="18" t="s">
        <v>41</v>
      </c>
      <c r="CL54" s="105"/>
      <c r="CM54" s="57"/>
      <c r="CN54" s="105"/>
      <c r="CO54" s="105"/>
      <c r="CP54" s="105"/>
      <c r="CQ54" s="105"/>
      <c r="CR54" s="110"/>
      <c r="CS54" s="38" t="s">
        <v>41</v>
      </c>
      <c r="CT54" s="105"/>
      <c r="CU54" s="37"/>
      <c r="CV54" s="105"/>
      <c r="CW54" s="105"/>
      <c r="CX54" s="105"/>
      <c r="CY54" s="105"/>
      <c r="CZ54" s="110"/>
      <c r="DA54" s="74"/>
      <c r="DC54" s="102"/>
      <c r="DD54" s="105"/>
      <c r="DE54" s="18" t="s">
        <v>41</v>
      </c>
      <c r="DF54" s="105"/>
      <c r="DG54" s="51">
        <v>3.6819999999999999</v>
      </c>
      <c r="DH54" s="105"/>
      <c r="DI54" s="105"/>
      <c r="DJ54" s="105"/>
      <c r="DK54" s="105"/>
      <c r="DL54" s="110"/>
      <c r="DM54" s="18" t="s">
        <v>41</v>
      </c>
      <c r="DN54" s="105"/>
      <c r="DO54" s="19">
        <v>3.669</v>
      </c>
      <c r="DP54" s="105"/>
      <c r="DQ54" s="105"/>
      <c r="DR54" s="105"/>
      <c r="DS54" s="105"/>
      <c r="DT54" s="110"/>
      <c r="DV54" s="81">
        <f t="shared" si="4"/>
        <v>-1.2999999999999901E-2</v>
      </c>
    </row>
    <row r="55" spans="1:126" ht="14.25" customHeight="1" x14ac:dyDescent="0.3">
      <c r="A55" s="143"/>
      <c r="B55" s="132"/>
      <c r="C55" s="86" t="s">
        <v>42</v>
      </c>
      <c r="D55" s="132"/>
      <c r="E55" s="87">
        <v>3512</v>
      </c>
      <c r="F55" s="132"/>
      <c r="G55" s="132"/>
      <c r="H55" s="132"/>
      <c r="I55" s="132"/>
      <c r="J55" s="129"/>
      <c r="K55" s="86" t="s">
        <v>42</v>
      </c>
      <c r="L55" s="132"/>
      <c r="M55" s="88">
        <v>3561</v>
      </c>
      <c r="N55" s="132"/>
      <c r="O55" s="132"/>
      <c r="P55" s="132"/>
      <c r="Q55" s="132"/>
      <c r="R55" s="129"/>
      <c r="S55" s="85">
        <f>L49-D49</f>
        <v>1.0999999999999943</v>
      </c>
      <c r="T55" s="85">
        <f t="shared" si="0"/>
        <v>-4.9000000000000002E-2</v>
      </c>
      <c r="V55" s="117"/>
      <c r="W55" s="102"/>
      <c r="X55" s="105"/>
      <c r="Y55" s="18" t="s">
        <v>42</v>
      </c>
      <c r="Z55" s="105"/>
      <c r="AA55" s="51">
        <v>3.6589999999999998</v>
      </c>
      <c r="AB55" s="105"/>
      <c r="AC55" s="105"/>
      <c r="AD55" s="105"/>
      <c r="AE55" s="105"/>
      <c r="AF55" s="110"/>
      <c r="AG55" s="18" t="s">
        <v>42</v>
      </c>
      <c r="AH55" s="105"/>
      <c r="AI55" s="62">
        <v>3.625</v>
      </c>
      <c r="AJ55" s="105"/>
      <c r="AK55" s="105"/>
      <c r="AL55" s="105"/>
      <c r="AM55" s="105"/>
      <c r="AN55" s="110"/>
      <c r="AO55" s="74"/>
      <c r="AP55" s="76">
        <f t="shared" si="1"/>
        <v>3.3999999999999808E-2</v>
      </c>
      <c r="AQ55" s="74"/>
      <c r="AS55" s="102"/>
      <c r="AT55" s="105"/>
      <c r="AU55" s="18" t="s">
        <v>42</v>
      </c>
      <c r="AV55" s="105"/>
      <c r="AW55" s="51">
        <v>3.46</v>
      </c>
      <c r="AX55" s="105"/>
      <c r="AY55" s="105"/>
      <c r="AZ55" s="105"/>
      <c r="BA55" s="105"/>
      <c r="BB55" s="110"/>
      <c r="BC55" s="18" t="s">
        <v>42</v>
      </c>
      <c r="BD55" s="105"/>
      <c r="BE55" s="20">
        <v>3.4089999999999998</v>
      </c>
      <c r="BF55" s="105"/>
      <c r="BG55" s="105"/>
      <c r="BH55" s="105"/>
      <c r="BI55" s="105"/>
      <c r="BJ55" s="110"/>
      <c r="BK55" s="74">
        <f>BD49-AV49</f>
        <v>1.6999999999999957</v>
      </c>
      <c r="BL55" s="76">
        <f t="shared" si="2"/>
        <v>5.1000000000000156E-2</v>
      </c>
      <c r="BN55" s="102"/>
      <c r="BO55" s="105"/>
      <c r="BP55" s="18" t="s">
        <v>42</v>
      </c>
      <c r="BQ55" s="105"/>
      <c r="BR55" s="57"/>
      <c r="BS55" s="105"/>
      <c r="BT55" s="105"/>
      <c r="BU55" s="105"/>
      <c r="BV55" s="105"/>
      <c r="BW55" s="110"/>
      <c r="BX55" s="18" t="s">
        <v>42</v>
      </c>
      <c r="BY55" s="105"/>
      <c r="BZ55" s="19"/>
      <c r="CA55" s="105"/>
      <c r="CB55" s="105"/>
      <c r="CC55" s="105"/>
      <c r="CD55" s="105"/>
      <c r="CE55" s="110"/>
      <c r="CF55" s="74"/>
      <c r="CG55" s="76">
        <f t="shared" si="3"/>
        <v>0</v>
      </c>
      <c r="CI55" s="102"/>
      <c r="CJ55" s="105"/>
      <c r="CK55" s="18" t="s">
        <v>42</v>
      </c>
      <c r="CL55" s="105"/>
      <c r="CM55" s="57"/>
      <c r="CN55" s="105"/>
      <c r="CO55" s="105"/>
      <c r="CP55" s="105"/>
      <c r="CQ55" s="105"/>
      <c r="CR55" s="110"/>
      <c r="CS55" s="38" t="s">
        <v>42</v>
      </c>
      <c r="CT55" s="105"/>
      <c r="CU55" s="37"/>
      <c r="CV55" s="105"/>
      <c r="CW55" s="105"/>
      <c r="CX55" s="105"/>
      <c r="CY55" s="105"/>
      <c r="CZ55" s="110"/>
      <c r="DA55" s="74"/>
      <c r="DC55" s="102"/>
      <c r="DD55" s="105"/>
      <c r="DE55" s="18" t="s">
        <v>42</v>
      </c>
      <c r="DF55" s="105"/>
      <c r="DG55" s="51">
        <v>3.6829999999999998</v>
      </c>
      <c r="DH55" s="105"/>
      <c r="DI55" s="105"/>
      <c r="DJ55" s="105"/>
      <c r="DK55" s="105"/>
      <c r="DL55" s="110"/>
      <c r="DM55" s="18" t="s">
        <v>42</v>
      </c>
      <c r="DN55" s="105"/>
      <c r="DO55" s="19">
        <v>3.6720000000000002</v>
      </c>
      <c r="DP55" s="105"/>
      <c r="DQ55" s="105"/>
      <c r="DR55" s="105"/>
      <c r="DS55" s="105"/>
      <c r="DT55" s="110"/>
      <c r="DV55" s="81">
        <f t="shared" si="4"/>
        <v>-1.0999999999999677E-2</v>
      </c>
    </row>
    <row r="56" spans="1:126" ht="14.25" customHeight="1" x14ac:dyDescent="0.3">
      <c r="A56" s="143"/>
      <c r="B56" s="132"/>
      <c r="C56" s="86" t="s">
        <v>43</v>
      </c>
      <c r="D56" s="132"/>
      <c r="E56" s="87">
        <v>3507</v>
      </c>
      <c r="F56" s="132"/>
      <c r="G56" s="132"/>
      <c r="H56" s="132"/>
      <c r="I56" s="132"/>
      <c r="J56" s="129"/>
      <c r="K56" s="86" t="s">
        <v>43</v>
      </c>
      <c r="L56" s="132"/>
      <c r="M56" s="88">
        <v>3563</v>
      </c>
      <c r="N56" s="132"/>
      <c r="O56" s="132"/>
      <c r="P56" s="132"/>
      <c r="Q56" s="132"/>
      <c r="R56" s="129"/>
      <c r="S56" s="85"/>
      <c r="T56" s="85">
        <f t="shared" si="0"/>
        <v>-5.6000000000000001E-2</v>
      </c>
      <c r="V56" s="117"/>
      <c r="W56" s="102"/>
      <c r="X56" s="105"/>
      <c r="Y56" s="18" t="s">
        <v>43</v>
      </c>
      <c r="Z56" s="105"/>
      <c r="AA56" s="51">
        <v>3.6629999999999998</v>
      </c>
      <c r="AB56" s="105"/>
      <c r="AC56" s="105"/>
      <c r="AD56" s="105"/>
      <c r="AE56" s="105"/>
      <c r="AF56" s="110"/>
      <c r="AG56" s="18" t="s">
        <v>43</v>
      </c>
      <c r="AH56" s="105"/>
      <c r="AI56" s="20">
        <v>3.6190000000000002</v>
      </c>
      <c r="AJ56" s="105"/>
      <c r="AK56" s="105"/>
      <c r="AL56" s="105"/>
      <c r="AM56" s="105"/>
      <c r="AN56" s="110"/>
      <c r="AO56" s="74"/>
      <c r="AP56" s="76">
        <f t="shared" si="1"/>
        <v>4.3999999999999595E-2</v>
      </c>
      <c r="AQ56" s="74"/>
      <c r="AS56" s="102"/>
      <c r="AT56" s="105"/>
      <c r="AU56" s="18" t="s">
        <v>43</v>
      </c>
      <c r="AV56" s="105"/>
      <c r="AW56" s="51">
        <v>3.444</v>
      </c>
      <c r="AX56" s="105"/>
      <c r="AY56" s="105"/>
      <c r="AZ56" s="105"/>
      <c r="BA56" s="105"/>
      <c r="BB56" s="110"/>
      <c r="BC56" s="18" t="s">
        <v>43</v>
      </c>
      <c r="BD56" s="105"/>
      <c r="BE56" s="20">
        <v>3.395</v>
      </c>
      <c r="BF56" s="105"/>
      <c r="BG56" s="105"/>
      <c r="BH56" s="105"/>
      <c r="BI56" s="105"/>
      <c r="BJ56" s="110"/>
      <c r="BK56" s="74"/>
      <c r="BL56" s="76">
        <f t="shared" si="2"/>
        <v>4.8999999999999932E-2</v>
      </c>
      <c r="BN56" s="102"/>
      <c r="BO56" s="105"/>
      <c r="BP56" s="18" t="s">
        <v>43</v>
      </c>
      <c r="BQ56" s="105"/>
      <c r="BR56" s="57"/>
      <c r="BS56" s="105"/>
      <c r="BT56" s="105"/>
      <c r="BU56" s="105"/>
      <c r="BV56" s="105"/>
      <c r="BW56" s="110"/>
      <c r="BX56" s="18" t="s">
        <v>43</v>
      </c>
      <c r="BY56" s="105"/>
      <c r="BZ56" s="19"/>
      <c r="CA56" s="105"/>
      <c r="CB56" s="105"/>
      <c r="CC56" s="105"/>
      <c r="CD56" s="105"/>
      <c r="CE56" s="110"/>
      <c r="CF56" s="74"/>
      <c r="CG56" s="76">
        <f t="shared" si="3"/>
        <v>0</v>
      </c>
      <c r="CI56" s="102"/>
      <c r="CJ56" s="105"/>
      <c r="CK56" s="18" t="s">
        <v>43</v>
      </c>
      <c r="CL56" s="105"/>
      <c r="CM56" s="57"/>
      <c r="CN56" s="105"/>
      <c r="CO56" s="105"/>
      <c r="CP56" s="105"/>
      <c r="CQ56" s="105"/>
      <c r="CR56" s="110"/>
      <c r="CS56" s="38" t="s">
        <v>43</v>
      </c>
      <c r="CT56" s="105"/>
      <c r="CU56" s="37"/>
      <c r="CV56" s="105"/>
      <c r="CW56" s="105"/>
      <c r="CX56" s="105"/>
      <c r="CY56" s="105"/>
      <c r="CZ56" s="110"/>
      <c r="DA56" s="74"/>
      <c r="DC56" s="102"/>
      <c r="DD56" s="105"/>
      <c r="DE56" s="18" t="s">
        <v>43</v>
      </c>
      <c r="DF56" s="105"/>
      <c r="DG56" s="51">
        <v>3.6840000000000002</v>
      </c>
      <c r="DH56" s="105"/>
      <c r="DI56" s="105"/>
      <c r="DJ56" s="105"/>
      <c r="DK56" s="105"/>
      <c r="DL56" s="110"/>
      <c r="DM56" s="18" t="s">
        <v>43</v>
      </c>
      <c r="DN56" s="105"/>
      <c r="DO56" s="19">
        <v>3.6720000000000002</v>
      </c>
      <c r="DP56" s="105"/>
      <c r="DQ56" s="105"/>
      <c r="DR56" s="105"/>
      <c r="DS56" s="105"/>
      <c r="DT56" s="110"/>
      <c r="DV56" s="81">
        <f t="shared" si="4"/>
        <v>-1.2000000000000011E-2</v>
      </c>
    </row>
    <row r="57" spans="1:126" ht="14.25" customHeight="1" x14ac:dyDescent="0.3">
      <c r="A57" s="143"/>
      <c r="B57" s="132"/>
      <c r="C57" s="86" t="s">
        <v>44</v>
      </c>
      <c r="D57" s="132"/>
      <c r="E57" s="87">
        <v>3494</v>
      </c>
      <c r="F57" s="132"/>
      <c r="G57" s="132"/>
      <c r="H57" s="132"/>
      <c r="I57" s="132"/>
      <c r="J57" s="129"/>
      <c r="K57" s="86" t="s">
        <v>44</v>
      </c>
      <c r="L57" s="132"/>
      <c r="M57" s="88">
        <v>3561</v>
      </c>
      <c r="N57" s="132"/>
      <c r="O57" s="132"/>
      <c r="P57" s="132"/>
      <c r="Q57" s="132"/>
      <c r="R57" s="129"/>
      <c r="S57" s="85"/>
      <c r="T57" s="85">
        <f t="shared" si="0"/>
        <v>-6.7000000000000004E-2</v>
      </c>
      <c r="V57" s="117"/>
      <c r="W57" s="102"/>
      <c r="X57" s="105"/>
      <c r="Y57" s="18" t="s">
        <v>44</v>
      </c>
      <c r="Z57" s="105"/>
      <c r="AA57" s="51">
        <v>3.669</v>
      </c>
      <c r="AB57" s="105"/>
      <c r="AC57" s="105"/>
      <c r="AD57" s="105"/>
      <c r="AE57" s="105"/>
      <c r="AF57" s="110"/>
      <c r="AG57" s="18" t="s">
        <v>44</v>
      </c>
      <c r="AH57" s="105"/>
      <c r="AI57" s="20">
        <v>3.6240000000000001</v>
      </c>
      <c r="AJ57" s="105"/>
      <c r="AK57" s="105"/>
      <c r="AL57" s="105"/>
      <c r="AM57" s="105"/>
      <c r="AN57" s="110"/>
      <c r="AO57" s="74"/>
      <c r="AP57" s="76">
        <f t="shared" si="1"/>
        <v>4.4999999999999929E-2</v>
      </c>
      <c r="AQ57" s="74"/>
      <c r="AS57" s="102"/>
      <c r="AT57" s="105"/>
      <c r="AU57" s="18" t="s">
        <v>44</v>
      </c>
      <c r="AV57" s="105"/>
      <c r="AW57" s="51">
        <v>3.4569999999999999</v>
      </c>
      <c r="AX57" s="105"/>
      <c r="AY57" s="105"/>
      <c r="AZ57" s="105"/>
      <c r="BA57" s="105"/>
      <c r="BB57" s="110"/>
      <c r="BC57" s="18" t="s">
        <v>44</v>
      </c>
      <c r="BD57" s="105"/>
      <c r="BE57" s="20">
        <v>3.4089999999999998</v>
      </c>
      <c r="BF57" s="105"/>
      <c r="BG57" s="105"/>
      <c r="BH57" s="105"/>
      <c r="BI57" s="105"/>
      <c r="BJ57" s="110"/>
      <c r="BK57" s="74"/>
      <c r="BL57" s="76">
        <f t="shared" si="2"/>
        <v>4.8000000000000043E-2</v>
      </c>
      <c r="BN57" s="102"/>
      <c r="BO57" s="105"/>
      <c r="BP57" s="18" t="s">
        <v>44</v>
      </c>
      <c r="BQ57" s="105"/>
      <c r="BR57" s="57"/>
      <c r="BS57" s="105"/>
      <c r="BT57" s="105"/>
      <c r="BU57" s="105"/>
      <c r="BV57" s="105"/>
      <c r="BW57" s="110"/>
      <c r="BX57" s="18" t="s">
        <v>44</v>
      </c>
      <c r="BY57" s="105"/>
      <c r="BZ57" s="19"/>
      <c r="CA57" s="105"/>
      <c r="CB57" s="105"/>
      <c r="CC57" s="105"/>
      <c r="CD57" s="105"/>
      <c r="CE57" s="110"/>
      <c r="CF57" s="74"/>
      <c r="CG57" s="76">
        <f t="shared" si="3"/>
        <v>0</v>
      </c>
      <c r="CI57" s="102"/>
      <c r="CJ57" s="105"/>
      <c r="CK57" s="18" t="s">
        <v>44</v>
      </c>
      <c r="CL57" s="105"/>
      <c r="CM57" s="57"/>
      <c r="CN57" s="105"/>
      <c r="CO57" s="105"/>
      <c r="CP57" s="105"/>
      <c r="CQ57" s="105"/>
      <c r="CR57" s="110"/>
      <c r="CS57" s="38" t="s">
        <v>44</v>
      </c>
      <c r="CT57" s="105"/>
      <c r="CU57" s="37"/>
      <c r="CV57" s="105"/>
      <c r="CW57" s="105"/>
      <c r="CX57" s="105"/>
      <c r="CY57" s="105"/>
      <c r="CZ57" s="110"/>
      <c r="DA57" s="74"/>
      <c r="DC57" s="102"/>
      <c r="DD57" s="105"/>
      <c r="DE57" s="18" t="s">
        <v>44</v>
      </c>
      <c r="DF57" s="105"/>
      <c r="DG57" s="51">
        <v>3.6850000000000001</v>
      </c>
      <c r="DH57" s="105"/>
      <c r="DI57" s="105"/>
      <c r="DJ57" s="105"/>
      <c r="DK57" s="105"/>
      <c r="DL57" s="110"/>
      <c r="DM57" s="18" t="s">
        <v>44</v>
      </c>
      <c r="DN57" s="105"/>
      <c r="DO57" s="19">
        <v>3.6720000000000002</v>
      </c>
      <c r="DP57" s="105"/>
      <c r="DQ57" s="105"/>
      <c r="DR57" s="105"/>
      <c r="DS57" s="105"/>
      <c r="DT57" s="110"/>
      <c r="DV57" s="81">
        <f t="shared" si="4"/>
        <v>-1.2999999999999901E-2</v>
      </c>
    </row>
    <row r="58" spans="1:126" ht="14.25" customHeight="1" x14ac:dyDescent="0.3">
      <c r="A58" s="143"/>
      <c r="B58" s="132"/>
      <c r="C58" s="86" t="s">
        <v>45</v>
      </c>
      <c r="D58" s="132"/>
      <c r="E58" s="87">
        <v>3519</v>
      </c>
      <c r="F58" s="132"/>
      <c r="G58" s="132"/>
      <c r="H58" s="132"/>
      <c r="I58" s="132"/>
      <c r="J58" s="129"/>
      <c r="K58" s="86" t="s">
        <v>45</v>
      </c>
      <c r="L58" s="132"/>
      <c r="M58" s="88">
        <v>3565</v>
      </c>
      <c r="N58" s="132"/>
      <c r="O58" s="132"/>
      <c r="P58" s="132"/>
      <c r="Q58" s="132"/>
      <c r="R58" s="129"/>
      <c r="S58" s="85"/>
      <c r="T58" s="85">
        <f t="shared" si="0"/>
        <v>-4.5999999999999999E-2</v>
      </c>
      <c r="V58" s="117"/>
      <c r="W58" s="102"/>
      <c r="X58" s="105"/>
      <c r="Y58" s="18" t="s">
        <v>45</v>
      </c>
      <c r="Z58" s="105"/>
      <c r="AA58" s="51">
        <v>3.6549999999999998</v>
      </c>
      <c r="AB58" s="105"/>
      <c r="AC58" s="105"/>
      <c r="AD58" s="105"/>
      <c r="AE58" s="105"/>
      <c r="AF58" s="110"/>
      <c r="AG58" s="18" t="s">
        <v>45</v>
      </c>
      <c r="AH58" s="105"/>
      <c r="AI58" s="20">
        <v>3.613</v>
      </c>
      <c r="AJ58" s="105"/>
      <c r="AK58" s="105"/>
      <c r="AL58" s="105"/>
      <c r="AM58" s="105"/>
      <c r="AN58" s="110"/>
      <c r="AO58" s="74"/>
      <c r="AP58" s="76">
        <f t="shared" si="1"/>
        <v>4.1999999999999815E-2</v>
      </c>
      <c r="AQ58" s="74"/>
      <c r="AS58" s="102"/>
      <c r="AT58" s="105"/>
      <c r="AU58" s="18" t="s">
        <v>45</v>
      </c>
      <c r="AV58" s="105"/>
      <c r="AW58" s="51">
        <v>3.4510000000000001</v>
      </c>
      <c r="AX58" s="105"/>
      <c r="AY58" s="105"/>
      <c r="AZ58" s="105"/>
      <c r="BA58" s="105"/>
      <c r="BB58" s="110"/>
      <c r="BC58" s="18" t="s">
        <v>45</v>
      </c>
      <c r="BD58" s="105"/>
      <c r="BE58" s="20">
        <v>3.4</v>
      </c>
      <c r="BF58" s="105"/>
      <c r="BG58" s="105"/>
      <c r="BH58" s="105"/>
      <c r="BI58" s="105"/>
      <c r="BJ58" s="110"/>
      <c r="BK58" s="74"/>
      <c r="BL58" s="76">
        <f t="shared" si="2"/>
        <v>5.1000000000000156E-2</v>
      </c>
      <c r="BN58" s="102"/>
      <c r="BO58" s="105"/>
      <c r="BP58" s="18" t="s">
        <v>45</v>
      </c>
      <c r="BQ58" s="105"/>
      <c r="BR58" s="57"/>
      <c r="BS58" s="105"/>
      <c r="BT58" s="105"/>
      <c r="BU58" s="105"/>
      <c r="BV58" s="105"/>
      <c r="BW58" s="110"/>
      <c r="BX58" s="18" t="s">
        <v>45</v>
      </c>
      <c r="BY58" s="105"/>
      <c r="BZ58" s="19"/>
      <c r="CA58" s="105"/>
      <c r="CB58" s="105"/>
      <c r="CC58" s="105"/>
      <c r="CD58" s="105"/>
      <c r="CE58" s="110"/>
      <c r="CF58" s="74"/>
      <c r="CG58" s="76">
        <f t="shared" si="3"/>
        <v>0</v>
      </c>
      <c r="CI58" s="102"/>
      <c r="CJ58" s="105"/>
      <c r="CK58" s="18" t="s">
        <v>45</v>
      </c>
      <c r="CL58" s="105"/>
      <c r="CM58" s="57"/>
      <c r="CN58" s="105"/>
      <c r="CO58" s="105"/>
      <c r="CP58" s="105"/>
      <c r="CQ58" s="105"/>
      <c r="CR58" s="110"/>
      <c r="CS58" s="38" t="s">
        <v>45</v>
      </c>
      <c r="CT58" s="105"/>
      <c r="CU58" s="37"/>
      <c r="CV58" s="105"/>
      <c r="CW58" s="105"/>
      <c r="CX58" s="105"/>
      <c r="CY58" s="105"/>
      <c r="CZ58" s="110"/>
      <c r="DA58" s="74"/>
      <c r="DC58" s="102"/>
      <c r="DD58" s="105"/>
      <c r="DE58" s="18" t="s">
        <v>45</v>
      </c>
      <c r="DF58" s="105"/>
      <c r="DG58" s="51">
        <v>3.6880000000000002</v>
      </c>
      <c r="DH58" s="105"/>
      <c r="DI58" s="105"/>
      <c r="DJ58" s="105"/>
      <c r="DK58" s="105"/>
      <c r="DL58" s="110"/>
      <c r="DM58" s="18" t="s">
        <v>45</v>
      </c>
      <c r="DN58" s="105"/>
      <c r="DO58" s="19">
        <v>3.6760000000000002</v>
      </c>
      <c r="DP58" s="105"/>
      <c r="DQ58" s="105"/>
      <c r="DR58" s="105"/>
      <c r="DS58" s="105"/>
      <c r="DT58" s="110"/>
      <c r="DV58" s="81">
        <f t="shared" si="4"/>
        <v>-1.2000000000000011E-2</v>
      </c>
    </row>
    <row r="59" spans="1:126" ht="14.25" customHeight="1" x14ac:dyDescent="0.3">
      <c r="A59" s="143"/>
      <c r="B59" s="132"/>
      <c r="C59" s="86" t="s">
        <v>46</v>
      </c>
      <c r="D59" s="132"/>
      <c r="E59" s="87">
        <v>3501</v>
      </c>
      <c r="F59" s="132"/>
      <c r="G59" s="132"/>
      <c r="H59" s="132"/>
      <c r="I59" s="132"/>
      <c r="J59" s="129"/>
      <c r="K59" s="86" t="s">
        <v>46</v>
      </c>
      <c r="L59" s="132"/>
      <c r="M59" s="88">
        <v>3580</v>
      </c>
      <c r="N59" s="132"/>
      <c r="O59" s="132"/>
      <c r="P59" s="132"/>
      <c r="Q59" s="132"/>
      <c r="R59" s="129"/>
      <c r="S59" s="85"/>
      <c r="T59" s="85">
        <f t="shared" si="0"/>
        <v>-7.9000000000000001E-2</v>
      </c>
      <c r="V59" s="117"/>
      <c r="W59" s="102"/>
      <c r="X59" s="105"/>
      <c r="Y59" s="18" t="s">
        <v>46</v>
      </c>
      <c r="Z59" s="105"/>
      <c r="AA59" s="51">
        <v>3.7290000000000001</v>
      </c>
      <c r="AB59" s="105"/>
      <c r="AC59" s="105"/>
      <c r="AD59" s="105"/>
      <c r="AE59" s="105"/>
      <c r="AF59" s="110"/>
      <c r="AG59" s="18" t="s">
        <v>46</v>
      </c>
      <c r="AH59" s="105"/>
      <c r="AI59" s="20">
        <v>3.669</v>
      </c>
      <c r="AJ59" s="105"/>
      <c r="AK59" s="105"/>
      <c r="AL59" s="105"/>
      <c r="AM59" s="105"/>
      <c r="AN59" s="110"/>
      <c r="AO59" s="74"/>
      <c r="AP59" s="76">
        <f t="shared" si="1"/>
        <v>6.0000000000000053E-2</v>
      </c>
      <c r="AQ59" s="74"/>
      <c r="AS59" s="102"/>
      <c r="AT59" s="105"/>
      <c r="AU59" s="18" t="s">
        <v>46</v>
      </c>
      <c r="AV59" s="105"/>
      <c r="AW59" s="51">
        <v>3.47</v>
      </c>
      <c r="AX59" s="105"/>
      <c r="AY59" s="105"/>
      <c r="AZ59" s="105"/>
      <c r="BA59" s="105"/>
      <c r="BB59" s="110"/>
      <c r="BC59" s="18" t="s">
        <v>46</v>
      </c>
      <c r="BD59" s="105"/>
      <c r="BE59" s="20">
        <v>3.4359999999999999</v>
      </c>
      <c r="BF59" s="105"/>
      <c r="BG59" s="105"/>
      <c r="BH59" s="105"/>
      <c r="BI59" s="105"/>
      <c r="BJ59" s="110"/>
      <c r="BK59" s="74"/>
      <c r="BL59" s="76">
        <f t="shared" si="2"/>
        <v>3.4000000000000252E-2</v>
      </c>
      <c r="BN59" s="102"/>
      <c r="BO59" s="105"/>
      <c r="BP59" s="18" t="s">
        <v>46</v>
      </c>
      <c r="BQ59" s="105"/>
      <c r="BR59" s="57"/>
      <c r="BS59" s="105"/>
      <c r="BT59" s="105"/>
      <c r="BU59" s="105"/>
      <c r="BV59" s="105"/>
      <c r="BW59" s="110"/>
      <c r="BX59" s="18" t="s">
        <v>46</v>
      </c>
      <c r="BY59" s="105"/>
      <c r="BZ59" s="19"/>
      <c r="CA59" s="105"/>
      <c r="CB59" s="105"/>
      <c r="CC59" s="105"/>
      <c r="CD59" s="105"/>
      <c r="CE59" s="110"/>
      <c r="CF59" s="74"/>
      <c r="CG59" s="76">
        <f t="shared" si="3"/>
        <v>0</v>
      </c>
      <c r="CI59" s="102"/>
      <c r="CJ59" s="105"/>
      <c r="CK59" s="18" t="s">
        <v>46</v>
      </c>
      <c r="CL59" s="105"/>
      <c r="CM59" s="57"/>
      <c r="CN59" s="105"/>
      <c r="CO59" s="105"/>
      <c r="CP59" s="105"/>
      <c r="CQ59" s="105"/>
      <c r="CR59" s="110"/>
      <c r="CS59" s="38" t="s">
        <v>46</v>
      </c>
      <c r="CT59" s="105"/>
      <c r="CU59" s="37"/>
      <c r="CV59" s="105"/>
      <c r="CW59" s="105"/>
      <c r="CX59" s="105"/>
      <c r="CY59" s="105"/>
      <c r="CZ59" s="110"/>
      <c r="DA59" s="74"/>
      <c r="DC59" s="102"/>
      <c r="DD59" s="105"/>
      <c r="DE59" s="18" t="s">
        <v>46</v>
      </c>
      <c r="DF59" s="105"/>
      <c r="DG59" s="51">
        <v>3.7280000000000002</v>
      </c>
      <c r="DH59" s="105"/>
      <c r="DI59" s="105"/>
      <c r="DJ59" s="105"/>
      <c r="DK59" s="105"/>
      <c r="DL59" s="110"/>
      <c r="DM59" s="18" t="s">
        <v>46</v>
      </c>
      <c r="DN59" s="105"/>
      <c r="DO59" s="19">
        <v>3.72</v>
      </c>
      <c r="DP59" s="105"/>
      <c r="DQ59" s="105"/>
      <c r="DR59" s="105"/>
      <c r="DS59" s="105"/>
      <c r="DT59" s="110"/>
      <c r="DV59" s="81">
        <f t="shared" si="4"/>
        <v>-8.0000000000000071E-3</v>
      </c>
    </row>
    <row r="60" spans="1:126" ht="14.25" customHeight="1" x14ac:dyDescent="0.3">
      <c r="A60" s="143"/>
      <c r="B60" s="132"/>
      <c r="C60" s="86" t="s">
        <v>47</v>
      </c>
      <c r="D60" s="132"/>
      <c r="E60" s="87">
        <v>3505</v>
      </c>
      <c r="F60" s="132"/>
      <c r="G60" s="132"/>
      <c r="H60" s="132"/>
      <c r="I60" s="132"/>
      <c r="J60" s="129"/>
      <c r="K60" s="86" t="s">
        <v>47</v>
      </c>
      <c r="L60" s="132"/>
      <c r="M60" s="88">
        <v>3563</v>
      </c>
      <c r="N60" s="132"/>
      <c r="O60" s="132"/>
      <c r="P60" s="132"/>
      <c r="Q60" s="132"/>
      <c r="R60" s="129"/>
      <c r="S60" s="85"/>
      <c r="T60" s="85">
        <f t="shared" si="0"/>
        <v>-5.8000000000000003E-2</v>
      </c>
      <c r="V60" s="117"/>
      <c r="W60" s="102"/>
      <c r="X60" s="105"/>
      <c r="Y60" s="18" t="s">
        <v>47</v>
      </c>
      <c r="Z60" s="105"/>
      <c r="AA60" s="51">
        <v>3.6549999999999998</v>
      </c>
      <c r="AB60" s="105"/>
      <c r="AC60" s="105"/>
      <c r="AD60" s="105"/>
      <c r="AE60" s="105"/>
      <c r="AF60" s="110"/>
      <c r="AG60" s="18" t="s">
        <v>47</v>
      </c>
      <c r="AH60" s="105"/>
      <c r="AI60" s="20">
        <v>3.61</v>
      </c>
      <c r="AJ60" s="105"/>
      <c r="AK60" s="105"/>
      <c r="AL60" s="105"/>
      <c r="AM60" s="105"/>
      <c r="AN60" s="110"/>
      <c r="AO60" s="74"/>
      <c r="AP60" s="76">
        <f t="shared" si="1"/>
        <v>4.4999999999999929E-2</v>
      </c>
      <c r="AQ60" s="74"/>
      <c r="AS60" s="102"/>
      <c r="AT60" s="105"/>
      <c r="AU60" s="18" t="s">
        <v>47</v>
      </c>
      <c r="AV60" s="105"/>
      <c r="AW60" s="51">
        <v>3.4540000000000002</v>
      </c>
      <c r="AX60" s="105"/>
      <c r="AY60" s="105"/>
      <c r="AZ60" s="105"/>
      <c r="BA60" s="105"/>
      <c r="BB60" s="110"/>
      <c r="BC60" s="18" t="s">
        <v>47</v>
      </c>
      <c r="BD60" s="105"/>
      <c r="BE60" s="20">
        <v>3.399</v>
      </c>
      <c r="BF60" s="105"/>
      <c r="BG60" s="105"/>
      <c r="BH60" s="105"/>
      <c r="BI60" s="105"/>
      <c r="BJ60" s="110"/>
      <c r="BK60" s="74"/>
      <c r="BL60" s="76">
        <f t="shared" si="2"/>
        <v>5.500000000000016E-2</v>
      </c>
      <c r="BN60" s="102"/>
      <c r="BO60" s="105"/>
      <c r="BP60" s="18" t="s">
        <v>47</v>
      </c>
      <c r="BQ60" s="105"/>
      <c r="BR60" s="57"/>
      <c r="BS60" s="105"/>
      <c r="BT60" s="105"/>
      <c r="BU60" s="105"/>
      <c r="BV60" s="105"/>
      <c r="BW60" s="110"/>
      <c r="BX60" s="18" t="s">
        <v>47</v>
      </c>
      <c r="BY60" s="105"/>
      <c r="BZ60" s="19"/>
      <c r="CA60" s="105"/>
      <c r="CB60" s="105"/>
      <c r="CC60" s="105"/>
      <c r="CD60" s="105"/>
      <c r="CE60" s="110"/>
      <c r="CF60" s="74"/>
      <c r="CG60" s="76">
        <f t="shared" si="3"/>
        <v>0</v>
      </c>
      <c r="CI60" s="102"/>
      <c r="CJ60" s="105"/>
      <c r="CK60" s="18" t="s">
        <v>47</v>
      </c>
      <c r="CL60" s="105"/>
      <c r="CM60" s="57"/>
      <c r="CN60" s="105"/>
      <c r="CO60" s="105"/>
      <c r="CP60" s="105"/>
      <c r="CQ60" s="105"/>
      <c r="CR60" s="110"/>
      <c r="CS60" s="38" t="s">
        <v>47</v>
      </c>
      <c r="CT60" s="105"/>
      <c r="CU60" s="37"/>
      <c r="CV60" s="105"/>
      <c r="CW60" s="105"/>
      <c r="CX60" s="105"/>
      <c r="CY60" s="105"/>
      <c r="CZ60" s="110"/>
      <c r="DA60" s="74"/>
      <c r="DC60" s="102"/>
      <c r="DD60" s="105"/>
      <c r="DE60" s="18" t="s">
        <v>47</v>
      </c>
      <c r="DF60" s="105"/>
      <c r="DG60" s="51">
        <v>3.6819999999999999</v>
      </c>
      <c r="DH60" s="105"/>
      <c r="DI60" s="105"/>
      <c r="DJ60" s="105"/>
      <c r="DK60" s="105"/>
      <c r="DL60" s="110"/>
      <c r="DM60" s="18" t="s">
        <v>47</v>
      </c>
      <c r="DN60" s="105"/>
      <c r="DO60" s="19">
        <v>3.6709999999999998</v>
      </c>
      <c r="DP60" s="105"/>
      <c r="DQ60" s="105"/>
      <c r="DR60" s="105"/>
      <c r="DS60" s="105"/>
      <c r="DT60" s="110"/>
      <c r="DV60" s="81">
        <f t="shared" si="4"/>
        <v>-1.1000000000000121E-2</v>
      </c>
    </row>
    <row r="61" spans="1:126" ht="14.25" customHeight="1" x14ac:dyDescent="0.3">
      <c r="A61" s="144"/>
      <c r="B61" s="133"/>
      <c r="C61" s="89" t="s">
        <v>48</v>
      </c>
      <c r="D61" s="133"/>
      <c r="E61" s="90">
        <v>3500</v>
      </c>
      <c r="F61" s="133"/>
      <c r="G61" s="133"/>
      <c r="H61" s="133"/>
      <c r="I61" s="133"/>
      <c r="J61" s="130"/>
      <c r="K61" s="89" t="s">
        <v>48</v>
      </c>
      <c r="L61" s="133"/>
      <c r="M61" s="91">
        <v>3563</v>
      </c>
      <c r="N61" s="133"/>
      <c r="O61" s="133"/>
      <c r="P61" s="133"/>
      <c r="Q61" s="133"/>
      <c r="R61" s="130"/>
      <c r="S61" s="85"/>
      <c r="T61" s="85">
        <f t="shared" si="0"/>
        <v>-6.3E-2</v>
      </c>
      <c r="V61" s="117"/>
      <c r="W61" s="103"/>
      <c r="X61" s="106"/>
      <c r="Y61" s="21" t="s">
        <v>48</v>
      </c>
      <c r="Z61" s="106"/>
      <c r="AA61" s="53">
        <v>3.653</v>
      </c>
      <c r="AB61" s="106"/>
      <c r="AC61" s="106"/>
      <c r="AD61" s="106"/>
      <c r="AE61" s="106"/>
      <c r="AF61" s="111"/>
      <c r="AG61" s="21" t="s">
        <v>48</v>
      </c>
      <c r="AH61" s="106"/>
      <c r="AI61" s="20">
        <v>3.6070000000000002</v>
      </c>
      <c r="AJ61" s="106"/>
      <c r="AK61" s="106"/>
      <c r="AL61" s="106"/>
      <c r="AM61" s="106"/>
      <c r="AN61" s="111"/>
      <c r="AO61" s="74"/>
      <c r="AP61" s="76">
        <f t="shared" si="1"/>
        <v>4.5999999999999819E-2</v>
      </c>
      <c r="AQ61" s="74"/>
      <c r="AS61" s="103"/>
      <c r="AT61" s="106"/>
      <c r="AU61" s="21" t="s">
        <v>48</v>
      </c>
      <c r="AV61" s="106"/>
      <c r="AW61" s="53">
        <v>3.4340000000000002</v>
      </c>
      <c r="AX61" s="106"/>
      <c r="AY61" s="106"/>
      <c r="AZ61" s="106"/>
      <c r="BA61" s="106"/>
      <c r="BB61" s="111"/>
      <c r="BC61" s="21" t="s">
        <v>48</v>
      </c>
      <c r="BD61" s="106"/>
      <c r="BE61" s="23">
        <v>3.399</v>
      </c>
      <c r="BF61" s="106"/>
      <c r="BG61" s="106"/>
      <c r="BH61" s="106"/>
      <c r="BI61" s="106"/>
      <c r="BJ61" s="111"/>
      <c r="BK61" s="74"/>
      <c r="BL61" s="76">
        <f t="shared" si="2"/>
        <v>3.5000000000000142E-2</v>
      </c>
      <c r="BN61" s="103"/>
      <c r="BO61" s="106"/>
      <c r="BP61" s="21" t="s">
        <v>48</v>
      </c>
      <c r="BQ61" s="106"/>
      <c r="BR61" s="64"/>
      <c r="BS61" s="106"/>
      <c r="BT61" s="106"/>
      <c r="BU61" s="106"/>
      <c r="BV61" s="106"/>
      <c r="BW61" s="111"/>
      <c r="BX61" s="21" t="s">
        <v>48</v>
      </c>
      <c r="BY61" s="106"/>
      <c r="BZ61" s="22"/>
      <c r="CA61" s="106"/>
      <c r="CB61" s="106"/>
      <c r="CC61" s="106"/>
      <c r="CD61" s="106"/>
      <c r="CE61" s="111"/>
      <c r="CF61" s="74"/>
      <c r="CG61" s="76">
        <f t="shared" si="3"/>
        <v>0</v>
      </c>
      <c r="CI61" s="103"/>
      <c r="CJ61" s="106"/>
      <c r="CK61" s="21" t="s">
        <v>48</v>
      </c>
      <c r="CL61" s="106"/>
      <c r="CM61" s="64"/>
      <c r="CN61" s="106"/>
      <c r="CO61" s="106"/>
      <c r="CP61" s="106"/>
      <c r="CQ61" s="106"/>
      <c r="CR61" s="111"/>
      <c r="CS61" s="41" t="s">
        <v>48</v>
      </c>
      <c r="CT61" s="106"/>
      <c r="CU61" s="40"/>
      <c r="CV61" s="106"/>
      <c r="CW61" s="106"/>
      <c r="CX61" s="106"/>
      <c r="CY61" s="106"/>
      <c r="CZ61" s="111"/>
      <c r="DA61" s="74"/>
      <c r="DC61" s="103"/>
      <c r="DD61" s="106"/>
      <c r="DE61" s="21" t="s">
        <v>48</v>
      </c>
      <c r="DF61" s="106"/>
      <c r="DG61" s="53">
        <v>3.68</v>
      </c>
      <c r="DH61" s="106"/>
      <c r="DI61" s="106"/>
      <c r="DJ61" s="106"/>
      <c r="DK61" s="106"/>
      <c r="DL61" s="111"/>
      <c r="DM61" s="21" t="s">
        <v>48</v>
      </c>
      <c r="DN61" s="106"/>
      <c r="DO61" s="22">
        <v>3.669</v>
      </c>
      <c r="DP61" s="106"/>
      <c r="DQ61" s="106"/>
      <c r="DR61" s="106"/>
      <c r="DS61" s="106"/>
      <c r="DT61" s="111"/>
      <c r="DV61" s="81">
        <f t="shared" si="4"/>
        <v>-1.1000000000000121E-2</v>
      </c>
    </row>
    <row r="62" spans="1:126" ht="14.25" customHeight="1" x14ac:dyDescent="0.3">
      <c r="A62" s="116"/>
      <c r="B62" s="116"/>
      <c r="G62" s="116"/>
      <c r="H62" s="116"/>
      <c r="I62" s="116"/>
      <c r="J62" s="116"/>
      <c r="M62" s="116"/>
      <c r="N62" s="65"/>
      <c r="O62" s="116"/>
      <c r="P62" s="116"/>
      <c r="Q62" s="140"/>
      <c r="R62" s="116"/>
      <c r="AA62" s="62">
        <v>47.2</v>
      </c>
      <c r="AI62" s="62">
        <v>46.7</v>
      </c>
      <c r="AW62" s="62">
        <v>44.89</v>
      </c>
      <c r="BE62" s="62">
        <v>44.24</v>
      </c>
      <c r="BL62" s="76">
        <f t="shared" si="2"/>
        <v>0.64999999999999858</v>
      </c>
      <c r="DG62" s="62">
        <v>47.93</v>
      </c>
      <c r="DO62" s="62">
        <v>47.79</v>
      </c>
    </row>
    <row r="63" spans="1:126" ht="14.25" customHeight="1" x14ac:dyDescent="0.3">
      <c r="A63" s="117"/>
      <c r="B63" s="117"/>
      <c r="G63" s="117"/>
      <c r="H63" s="117"/>
      <c r="I63" s="117"/>
      <c r="J63" s="117"/>
      <c r="M63" s="117"/>
      <c r="N63" s="65"/>
      <c r="O63" s="117"/>
      <c r="P63" s="117"/>
      <c r="Q63" s="117"/>
      <c r="R63" s="117"/>
    </row>
    <row r="64" spans="1:126" ht="14.25" customHeight="1" x14ac:dyDescent="0.3">
      <c r="A64" s="117"/>
      <c r="B64" s="117"/>
      <c r="G64" s="117"/>
      <c r="H64" s="117"/>
      <c r="I64" s="117"/>
      <c r="J64" s="117"/>
      <c r="M64" s="117"/>
      <c r="N64" s="65"/>
      <c r="O64" s="117"/>
      <c r="P64" s="117"/>
      <c r="Q64" s="117"/>
      <c r="R64" s="117"/>
    </row>
    <row r="65" spans="1:18" ht="14.25" customHeight="1" x14ac:dyDescent="0.3">
      <c r="A65" s="117"/>
      <c r="B65" s="117"/>
      <c r="G65" s="117"/>
      <c r="H65" s="117"/>
      <c r="I65" s="117"/>
      <c r="J65" s="117"/>
      <c r="M65" s="117"/>
      <c r="N65" s="65"/>
      <c r="O65" s="117"/>
      <c r="P65" s="117"/>
      <c r="Q65" s="117"/>
      <c r="R65" s="117"/>
    </row>
    <row r="66" spans="1:18" ht="14.25" customHeight="1" x14ac:dyDescent="0.3">
      <c r="A66" s="117"/>
      <c r="B66" s="117"/>
      <c r="G66" s="117"/>
      <c r="H66" s="117"/>
      <c r="I66" s="117"/>
      <c r="J66" s="117"/>
      <c r="M66" s="117"/>
      <c r="N66" s="65"/>
      <c r="O66" s="117"/>
      <c r="P66" s="117"/>
      <c r="Q66" s="117"/>
      <c r="R66" s="117"/>
    </row>
    <row r="67" spans="1:18" ht="14.25" customHeight="1" x14ac:dyDescent="0.3">
      <c r="A67" s="117"/>
      <c r="B67" s="117"/>
      <c r="G67" s="117"/>
      <c r="H67" s="117"/>
      <c r="I67" s="117"/>
      <c r="J67" s="117"/>
      <c r="M67" s="117"/>
      <c r="N67" s="65"/>
      <c r="O67" s="117"/>
      <c r="P67" s="117"/>
      <c r="Q67" s="117"/>
      <c r="R67" s="117"/>
    </row>
    <row r="68" spans="1:18" ht="14.25" customHeight="1" x14ac:dyDescent="0.3">
      <c r="A68" s="117"/>
      <c r="B68" s="117"/>
      <c r="G68" s="117"/>
      <c r="H68" s="117"/>
      <c r="I68" s="117"/>
      <c r="J68" s="117"/>
      <c r="M68" s="117"/>
      <c r="N68" s="65"/>
      <c r="O68" s="117"/>
      <c r="P68" s="117"/>
      <c r="Q68" s="117"/>
      <c r="R68" s="117"/>
    </row>
    <row r="69" spans="1:18" ht="14.25" customHeight="1" x14ac:dyDescent="0.3">
      <c r="A69" s="117"/>
      <c r="B69" s="117"/>
      <c r="G69" s="117"/>
      <c r="H69" s="117"/>
      <c r="I69" s="117"/>
      <c r="J69" s="117"/>
      <c r="M69" s="117"/>
      <c r="N69" s="65"/>
      <c r="O69" s="117"/>
      <c r="P69" s="117"/>
      <c r="Q69" s="117"/>
      <c r="R69" s="117"/>
    </row>
    <row r="70" spans="1:18" ht="14.25" customHeight="1" x14ac:dyDescent="0.3">
      <c r="A70" s="117"/>
      <c r="B70" s="117"/>
      <c r="G70" s="117"/>
      <c r="H70" s="117"/>
      <c r="I70" s="117"/>
      <c r="J70" s="117"/>
      <c r="M70" s="117"/>
      <c r="N70" s="65"/>
      <c r="O70" s="117"/>
      <c r="P70" s="117"/>
      <c r="Q70" s="117"/>
      <c r="R70" s="117"/>
    </row>
    <row r="71" spans="1:18" ht="14.25" customHeight="1" x14ac:dyDescent="0.3">
      <c r="A71" s="117"/>
      <c r="B71" s="117"/>
      <c r="G71" s="117"/>
      <c r="H71" s="117"/>
      <c r="I71" s="117"/>
      <c r="J71" s="117"/>
      <c r="M71" s="117"/>
      <c r="N71" s="65"/>
      <c r="O71" s="117"/>
      <c r="P71" s="117"/>
      <c r="Q71" s="117"/>
      <c r="R71" s="117"/>
    </row>
    <row r="72" spans="1:18" ht="14.25" customHeight="1" x14ac:dyDescent="0.3">
      <c r="A72" s="117"/>
      <c r="B72" s="117"/>
      <c r="G72" s="117"/>
      <c r="H72" s="117"/>
      <c r="I72" s="117"/>
      <c r="J72" s="117"/>
      <c r="M72" s="117"/>
      <c r="N72" s="65"/>
      <c r="O72" s="117"/>
      <c r="P72" s="117"/>
      <c r="Q72" s="117"/>
      <c r="R72" s="117"/>
    </row>
    <row r="73" spans="1:18" ht="14.25" customHeight="1" x14ac:dyDescent="0.3">
      <c r="A73" s="117"/>
      <c r="B73" s="117"/>
      <c r="G73" s="117"/>
      <c r="H73" s="117"/>
      <c r="I73" s="117"/>
      <c r="J73" s="117"/>
      <c r="M73" s="117"/>
      <c r="N73" s="65"/>
      <c r="O73" s="117"/>
      <c r="P73" s="117"/>
      <c r="Q73" s="117"/>
      <c r="R73" s="117"/>
    </row>
    <row r="74" spans="1:18" ht="14.25" customHeight="1" x14ac:dyDescent="0.3">
      <c r="A74" s="117"/>
      <c r="B74" s="117"/>
      <c r="G74" s="117"/>
      <c r="H74" s="117"/>
      <c r="I74" s="117"/>
      <c r="J74" s="117"/>
      <c r="M74" s="117"/>
      <c r="N74" s="65"/>
      <c r="O74" s="117"/>
      <c r="P74" s="117"/>
      <c r="Q74" s="117"/>
      <c r="R74" s="117"/>
    </row>
    <row r="75" spans="1:18" ht="14.25" customHeight="1" x14ac:dyDescent="0.3">
      <c r="A75" s="116"/>
      <c r="B75" s="116"/>
      <c r="G75" s="116"/>
      <c r="H75" s="116"/>
      <c r="I75" s="116"/>
      <c r="J75" s="116"/>
      <c r="M75" s="116"/>
      <c r="N75" s="65"/>
      <c r="O75" s="116"/>
      <c r="P75" s="116"/>
      <c r="Q75" s="140"/>
      <c r="R75" s="116"/>
    </row>
    <row r="76" spans="1:18" ht="14.25" customHeight="1" x14ac:dyDescent="0.3">
      <c r="A76" s="117"/>
      <c r="B76" s="117"/>
      <c r="G76" s="117"/>
      <c r="H76" s="117"/>
      <c r="I76" s="117"/>
      <c r="J76" s="117"/>
      <c r="M76" s="117"/>
      <c r="N76" s="65"/>
      <c r="O76" s="117"/>
      <c r="P76" s="117"/>
      <c r="Q76" s="117"/>
      <c r="R76" s="117"/>
    </row>
    <row r="77" spans="1:18" ht="14.25" customHeight="1" x14ac:dyDescent="0.3">
      <c r="A77" s="117"/>
      <c r="B77" s="117"/>
      <c r="G77" s="117"/>
      <c r="H77" s="117"/>
      <c r="I77" s="117"/>
      <c r="J77" s="117"/>
      <c r="M77" s="117"/>
      <c r="N77" s="65"/>
      <c r="O77" s="117"/>
      <c r="P77" s="117"/>
      <c r="Q77" s="117"/>
      <c r="R77" s="117"/>
    </row>
    <row r="78" spans="1:18" ht="14.25" customHeight="1" x14ac:dyDescent="0.3">
      <c r="A78" s="117"/>
      <c r="B78" s="117"/>
      <c r="G78" s="117"/>
      <c r="H78" s="117"/>
      <c r="I78" s="117"/>
      <c r="J78" s="117"/>
      <c r="M78" s="117"/>
      <c r="N78" s="65"/>
      <c r="O78" s="117"/>
      <c r="P78" s="117"/>
      <c r="Q78" s="117"/>
      <c r="R78" s="117"/>
    </row>
    <row r="79" spans="1:18" ht="14.25" customHeight="1" x14ac:dyDescent="0.3">
      <c r="A79" s="117"/>
      <c r="B79" s="117"/>
      <c r="G79" s="117"/>
      <c r="H79" s="117"/>
      <c r="I79" s="117"/>
      <c r="J79" s="117"/>
      <c r="M79" s="117"/>
      <c r="N79" s="65"/>
      <c r="O79" s="117"/>
      <c r="P79" s="117"/>
      <c r="Q79" s="117"/>
      <c r="R79" s="117"/>
    </row>
    <row r="80" spans="1:18" ht="14.25" customHeight="1" x14ac:dyDescent="0.3">
      <c r="A80" s="117"/>
      <c r="B80" s="117"/>
      <c r="G80" s="117"/>
      <c r="H80" s="117"/>
      <c r="I80" s="117"/>
      <c r="J80" s="117"/>
      <c r="M80" s="117"/>
      <c r="N80" s="65"/>
      <c r="O80" s="117"/>
      <c r="P80" s="117"/>
      <c r="Q80" s="117"/>
      <c r="R80" s="117"/>
    </row>
    <row r="81" spans="1:18" ht="14.25" customHeight="1" x14ac:dyDescent="0.3">
      <c r="A81" s="117"/>
      <c r="B81" s="117"/>
      <c r="G81" s="117"/>
      <c r="H81" s="117"/>
      <c r="I81" s="117"/>
      <c r="J81" s="117"/>
      <c r="M81" s="117"/>
      <c r="N81" s="65"/>
      <c r="O81" s="117"/>
      <c r="P81" s="117"/>
      <c r="Q81" s="117"/>
      <c r="R81" s="117"/>
    </row>
    <row r="82" spans="1:18" ht="14.25" customHeight="1" x14ac:dyDescent="0.3">
      <c r="A82" s="117"/>
      <c r="B82" s="117"/>
      <c r="G82" s="117"/>
      <c r="H82" s="117"/>
      <c r="I82" s="117"/>
      <c r="J82" s="117"/>
      <c r="M82" s="117"/>
      <c r="N82" s="65"/>
      <c r="O82" s="117"/>
      <c r="P82" s="117"/>
      <c r="Q82" s="117"/>
      <c r="R82" s="117"/>
    </row>
    <row r="83" spans="1:18" ht="14.25" customHeight="1" x14ac:dyDescent="0.3">
      <c r="A83" s="117"/>
      <c r="B83" s="117"/>
      <c r="G83" s="117"/>
      <c r="H83" s="117"/>
      <c r="I83" s="117"/>
      <c r="J83" s="117"/>
      <c r="M83" s="117"/>
      <c r="N83" s="65"/>
      <c r="O83" s="117"/>
      <c r="P83" s="117"/>
      <c r="Q83" s="117"/>
      <c r="R83" s="117"/>
    </row>
    <row r="84" spans="1:18" ht="14.25" customHeight="1" x14ac:dyDescent="0.3">
      <c r="A84" s="117"/>
      <c r="B84" s="117"/>
      <c r="G84" s="117"/>
      <c r="H84" s="117"/>
      <c r="I84" s="117"/>
      <c r="J84" s="117"/>
      <c r="M84" s="117"/>
      <c r="N84" s="65"/>
      <c r="O84" s="117"/>
      <c r="P84" s="117"/>
      <c r="Q84" s="117"/>
      <c r="R84" s="117"/>
    </row>
    <row r="85" spans="1:18" ht="14.25" customHeight="1" x14ac:dyDescent="0.3">
      <c r="A85" s="117"/>
      <c r="B85" s="117"/>
      <c r="G85" s="117"/>
      <c r="H85" s="117"/>
      <c r="I85" s="117"/>
      <c r="J85" s="117"/>
      <c r="M85" s="117"/>
      <c r="N85" s="65"/>
      <c r="O85" s="117"/>
      <c r="P85" s="117"/>
      <c r="Q85" s="117"/>
      <c r="R85" s="117"/>
    </row>
    <row r="86" spans="1:18" ht="14.25" customHeight="1" x14ac:dyDescent="0.3">
      <c r="A86" s="117"/>
      <c r="B86" s="117"/>
      <c r="G86" s="117"/>
      <c r="H86" s="117"/>
      <c r="I86" s="117"/>
      <c r="J86" s="117"/>
      <c r="M86" s="117"/>
      <c r="N86" s="65"/>
      <c r="O86" s="117"/>
      <c r="P86" s="117"/>
      <c r="Q86" s="117"/>
      <c r="R86" s="117"/>
    </row>
    <row r="87" spans="1:18" ht="14.25" customHeight="1" x14ac:dyDescent="0.3">
      <c r="A87" s="117"/>
      <c r="B87" s="117"/>
      <c r="G87" s="117"/>
      <c r="H87" s="117"/>
      <c r="I87" s="117"/>
      <c r="J87" s="117"/>
      <c r="M87" s="117"/>
      <c r="N87" s="65"/>
      <c r="O87" s="117"/>
      <c r="P87" s="117"/>
      <c r="Q87" s="117"/>
      <c r="R87" s="117"/>
    </row>
    <row r="88" spans="1:18" ht="14.25" customHeight="1" x14ac:dyDescent="0.3"/>
    <row r="89" spans="1:18" ht="14.25" customHeight="1" x14ac:dyDescent="0.3"/>
    <row r="90" spans="1:18" ht="14.25" customHeight="1" x14ac:dyDescent="0.3"/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411">
    <mergeCell ref="BQ35:BQ47"/>
    <mergeCell ref="BS35:BS47"/>
    <mergeCell ref="BT35:BT47"/>
    <mergeCell ref="BU35:BU47"/>
    <mergeCell ref="BB35:BB47"/>
    <mergeCell ref="BD35:BD47"/>
    <mergeCell ref="BF35:BF47"/>
    <mergeCell ref="BG35:BG47"/>
    <mergeCell ref="BH35:BH47"/>
    <mergeCell ref="BI35:BI47"/>
    <mergeCell ref="BJ35:BJ47"/>
    <mergeCell ref="BN35:BN47"/>
    <mergeCell ref="BO35:BO47"/>
    <mergeCell ref="AM35:AM47"/>
    <mergeCell ref="AN35:AN47"/>
    <mergeCell ref="AS35:AS47"/>
    <mergeCell ref="AT35:AT47"/>
    <mergeCell ref="AV35:AV47"/>
    <mergeCell ref="AX35:AX47"/>
    <mergeCell ref="AY35:AY47"/>
    <mergeCell ref="AZ35:AZ47"/>
    <mergeCell ref="BA35:BA47"/>
    <mergeCell ref="AB35:AB47"/>
    <mergeCell ref="AC35:AC47"/>
    <mergeCell ref="AD35:AD47"/>
    <mergeCell ref="AE35:AE47"/>
    <mergeCell ref="AF35:AF47"/>
    <mergeCell ref="AH35:AH47"/>
    <mergeCell ref="AJ35:AJ47"/>
    <mergeCell ref="AK35:AK47"/>
    <mergeCell ref="AL35:AL47"/>
    <mergeCell ref="N35:N47"/>
    <mergeCell ref="O35:O47"/>
    <mergeCell ref="P35:P47"/>
    <mergeCell ref="Q35:Q47"/>
    <mergeCell ref="R35:R47"/>
    <mergeCell ref="V35:V47"/>
    <mergeCell ref="W35:W47"/>
    <mergeCell ref="X35:X47"/>
    <mergeCell ref="Z35:Z47"/>
    <mergeCell ref="A35:A47"/>
    <mergeCell ref="B35:B47"/>
    <mergeCell ref="D35:D47"/>
    <mergeCell ref="F35:F47"/>
    <mergeCell ref="G35:G47"/>
    <mergeCell ref="H35:H47"/>
    <mergeCell ref="I35:I47"/>
    <mergeCell ref="J35:J47"/>
    <mergeCell ref="L35:L47"/>
    <mergeCell ref="DS35:DS47"/>
    <mergeCell ref="DT35:DT47"/>
    <mergeCell ref="CZ35:CZ47"/>
    <mergeCell ref="DC35:DC47"/>
    <mergeCell ref="DD35:DD47"/>
    <mergeCell ref="DF35:DF47"/>
    <mergeCell ref="DH35:DH47"/>
    <mergeCell ref="DI35:DI47"/>
    <mergeCell ref="DJ35:DJ47"/>
    <mergeCell ref="CW35:CW47"/>
    <mergeCell ref="CX35:CX47"/>
    <mergeCell ref="CY35:CY47"/>
    <mergeCell ref="DK35:DK47"/>
    <mergeCell ref="DL35:DL47"/>
    <mergeCell ref="DN35:DN47"/>
    <mergeCell ref="DP35:DP47"/>
    <mergeCell ref="DQ35:DQ47"/>
    <mergeCell ref="DR35:DR47"/>
    <mergeCell ref="CJ35:CJ47"/>
    <mergeCell ref="CL35:CL47"/>
    <mergeCell ref="CN35:CN47"/>
    <mergeCell ref="CO35:CO47"/>
    <mergeCell ref="CP35:CP47"/>
    <mergeCell ref="CQ35:CQ47"/>
    <mergeCell ref="CR35:CR47"/>
    <mergeCell ref="CT35:CT47"/>
    <mergeCell ref="CV35:CV47"/>
    <mergeCell ref="BV35:BV47"/>
    <mergeCell ref="BW35:BW47"/>
    <mergeCell ref="BY35:BY47"/>
    <mergeCell ref="CA35:CA47"/>
    <mergeCell ref="CB35:CB47"/>
    <mergeCell ref="CC35:CC47"/>
    <mergeCell ref="CD35:CD47"/>
    <mergeCell ref="CE35:CE47"/>
    <mergeCell ref="CI35:CI47"/>
    <mergeCell ref="DL21:DL33"/>
    <mergeCell ref="DN21:DN33"/>
    <mergeCell ref="DP21:DP33"/>
    <mergeCell ref="DQ21:DQ33"/>
    <mergeCell ref="DR21:DR33"/>
    <mergeCell ref="DS21:DS33"/>
    <mergeCell ref="DT21:DT33"/>
    <mergeCell ref="CZ21:CZ33"/>
    <mergeCell ref="DC21:DC33"/>
    <mergeCell ref="DD21:DD33"/>
    <mergeCell ref="DF21:DF33"/>
    <mergeCell ref="DH21:DH33"/>
    <mergeCell ref="DI21:DI33"/>
    <mergeCell ref="DJ21:DJ33"/>
    <mergeCell ref="CP21:CP33"/>
    <mergeCell ref="CQ21:CQ33"/>
    <mergeCell ref="CR21:CR33"/>
    <mergeCell ref="CT21:CT33"/>
    <mergeCell ref="CV21:CV33"/>
    <mergeCell ref="CW21:CW33"/>
    <mergeCell ref="CX21:CX33"/>
    <mergeCell ref="CY21:CY33"/>
    <mergeCell ref="DK21:DK33"/>
    <mergeCell ref="CB21:CB33"/>
    <mergeCell ref="CC21:CC33"/>
    <mergeCell ref="CD21:CD33"/>
    <mergeCell ref="CE21:CE33"/>
    <mergeCell ref="CI21:CI33"/>
    <mergeCell ref="CJ21:CJ33"/>
    <mergeCell ref="CL21:CL33"/>
    <mergeCell ref="CN21:CN33"/>
    <mergeCell ref="CO21:CO33"/>
    <mergeCell ref="BO21:BO33"/>
    <mergeCell ref="BQ21:BQ33"/>
    <mergeCell ref="BS21:BS33"/>
    <mergeCell ref="BT21:BT33"/>
    <mergeCell ref="BU21:BU33"/>
    <mergeCell ref="BV21:BV33"/>
    <mergeCell ref="BW21:BW33"/>
    <mergeCell ref="BY21:BY33"/>
    <mergeCell ref="CA21:CA33"/>
    <mergeCell ref="BA21:BA33"/>
    <mergeCell ref="BB21:BB33"/>
    <mergeCell ref="BD21:BD33"/>
    <mergeCell ref="BF21:BF33"/>
    <mergeCell ref="BG21:BG33"/>
    <mergeCell ref="BH21:BH33"/>
    <mergeCell ref="BI21:BI33"/>
    <mergeCell ref="BJ21:BJ33"/>
    <mergeCell ref="BN21:BN33"/>
    <mergeCell ref="DF7:DF19"/>
    <mergeCell ref="DH7:DH19"/>
    <mergeCell ref="CV7:CV19"/>
    <mergeCell ref="CW7:CW19"/>
    <mergeCell ref="CX7:CX19"/>
    <mergeCell ref="CY7:CY19"/>
    <mergeCell ref="CZ7:CZ19"/>
    <mergeCell ref="DC7:DC19"/>
    <mergeCell ref="DD7:DD19"/>
    <mergeCell ref="BV7:BV19"/>
    <mergeCell ref="BW7:BW19"/>
    <mergeCell ref="BY7:BY19"/>
    <mergeCell ref="CA7:CA19"/>
    <mergeCell ref="CB7:CB19"/>
    <mergeCell ref="CC7:CC19"/>
    <mergeCell ref="CR7:CR19"/>
    <mergeCell ref="CT7:CT19"/>
    <mergeCell ref="CI7:CI19"/>
    <mergeCell ref="CJ7:CJ19"/>
    <mergeCell ref="CL7:CL19"/>
    <mergeCell ref="CN7:CN19"/>
    <mergeCell ref="CO7:CO19"/>
    <mergeCell ref="CP7:CP19"/>
    <mergeCell ref="CQ7:CQ19"/>
    <mergeCell ref="W5:W6"/>
    <mergeCell ref="X5:X6"/>
    <mergeCell ref="Y5:AB5"/>
    <mergeCell ref="AD5:AF5"/>
    <mergeCell ref="AG5:AJ5"/>
    <mergeCell ref="AS5:AS6"/>
    <mergeCell ref="AT5:AT6"/>
    <mergeCell ref="A5:A6"/>
    <mergeCell ref="B5:B6"/>
    <mergeCell ref="C5:F5"/>
    <mergeCell ref="H5:J5"/>
    <mergeCell ref="K5:N5"/>
    <mergeCell ref="P5:R5"/>
    <mergeCell ref="V5:V6"/>
    <mergeCell ref="BN49:BN61"/>
    <mergeCell ref="BO49:BO61"/>
    <mergeCell ref="BQ49:BQ61"/>
    <mergeCell ref="BS49:BS61"/>
    <mergeCell ref="BT49:BT61"/>
    <mergeCell ref="BU49:BU61"/>
    <mergeCell ref="A49:A61"/>
    <mergeCell ref="B49:B61"/>
    <mergeCell ref="D49:D61"/>
    <mergeCell ref="F49:F61"/>
    <mergeCell ref="G49:G61"/>
    <mergeCell ref="H49:H61"/>
    <mergeCell ref="I49:I61"/>
    <mergeCell ref="AZ49:AZ61"/>
    <mergeCell ref="BA49:BA61"/>
    <mergeCell ref="BB49:BB61"/>
    <mergeCell ref="BD49:BD61"/>
    <mergeCell ref="BF49:BF61"/>
    <mergeCell ref="BG49:BG61"/>
    <mergeCell ref="BH49:BH61"/>
    <mergeCell ref="BI49:BI61"/>
    <mergeCell ref="BJ49:BJ61"/>
    <mergeCell ref="Q75:Q87"/>
    <mergeCell ref="R75:R87"/>
    <mergeCell ref="A75:A87"/>
    <mergeCell ref="B75:B87"/>
    <mergeCell ref="G75:G87"/>
    <mergeCell ref="H75:H87"/>
    <mergeCell ref="I75:I87"/>
    <mergeCell ref="J75:J87"/>
    <mergeCell ref="M75:M87"/>
    <mergeCell ref="A62:A74"/>
    <mergeCell ref="B62:B74"/>
    <mergeCell ref="G62:G74"/>
    <mergeCell ref="H62:H74"/>
    <mergeCell ref="I62:I74"/>
    <mergeCell ref="J62:J74"/>
    <mergeCell ref="M62:M74"/>
    <mergeCell ref="O75:O87"/>
    <mergeCell ref="P75:P87"/>
    <mergeCell ref="DT49:DT61"/>
    <mergeCell ref="CZ49:CZ61"/>
    <mergeCell ref="DC49:DC61"/>
    <mergeCell ref="DD49:DD61"/>
    <mergeCell ref="DF49:DF61"/>
    <mergeCell ref="DH49:DH61"/>
    <mergeCell ref="DI49:DI61"/>
    <mergeCell ref="DJ49:DJ61"/>
    <mergeCell ref="O62:O74"/>
    <mergeCell ref="P62:P74"/>
    <mergeCell ref="Q62:Q74"/>
    <mergeCell ref="R62:R74"/>
    <mergeCell ref="O49:O61"/>
    <mergeCell ref="P49:P61"/>
    <mergeCell ref="Q49:Q61"/>
    <mergeCell ref="R49:R61"/>
    <mergeCell ref="V49:V61"/>
    <mergeCell ref="W49:W61"/>
    <mergeCell ref="X49:X61"/>
    <mergeCell ref="Z49:Z61"/>
    <mergeCell ref="AB49:AB61"/>
    <mergeCell ref="AC49:AC61"/>
    <mergeCell ref="AD49:AD61"/>
    <mergeCell ref="AE49:AE61"/>
    <mergeCell ref="CX49:CX61"/>
    <mergeCell ref="CY49:CY61"/>
    <mergeCell ref="DK49:DK61"/>
    <mergeCell ref="DL49:DL61"/>
    <mergeCell ref="DN49:DN61"/>
    <mergeCell ref="DP49:DP61"/>
    <mergeCell ref="DQ49:DQ61"/>
    <mergeCell ref="DR49:DR61"/>
    <mergeCell ref="DS49:DS61"/>
    <mergeCell ref="CL49:CL61"/>
    <mergeCell ref="CN49:CN61"/>
    <mergeCell ref="CO49:CO61"/>
    <mergeCell ref="CP49:CP61"/>
    <mergeCell ref="CQ49:CQ61"/>
    <mergeCell ref="CR49:CR61"/>
    <mergeCell ref="CT49:CT61"/>
    <mergeCell ref="CV49:CV61"/>
    <mergeCell ref="CW49:CW61"/>
    <mergeCell ref="BW49:BW61"/>
    <mergeCell ref="BY49:BY61"/>
    <mergeCell ref="CA49:CA61"/>
    <mergeCell ref="CB49:CB61"/>
    <mergeCell ref="CC49:CC61"/>
    <mergeCell ref="CD49:CD61"/>
    <mergeCell ref="CE49:CE61"/>
    <mergeCell ref="CI49:CI61"/>
    <mergeCell ref="CJ49:CJ61"/>
    <mergeCell ref="AZ21:AZ33"/>
    <mergeCell ref="A21:A33"/>
    <mergeCell ref="B21:B33"/>
    <mergeCell ref="D21:D33"/>
    <mergeCell ref="F21:F33"/>
    <mergeCell ref="G21:G33"/>
    <mergeCell ref="H21:H33"/>
    <mergeCell ref="I21:I33"/>
    <mergeCell ref="BV49:BV61"/>
    <mergeCell ref="J49:J61"/>
    <mergeCell ref="L49:L61"/>
    <mergeCell ref="N49:N61"/>
    <mergeCell ref="AF49:AF61"/>
    <mergeCell ref="AH49:AH61"/>
    <mergeCell ref="AJ49:AJ61"/>
    <mergeCell ref="AK49:AK61"/>
    <mergeCell ref="AL49:AL61"/>
    <mergeCell ref="AM49:AM61"/>
    <mergeCell ref="AN49:AN61"/>
    <mergeCell ref="AS49:AS61"/>
    <mergeCell ref="AT49:AT61"/>
    <mergeCell ref="AV49:AV61"/>
    <mergeCell ref="AX49:AX61"/>
    <mergeCell ref="AY49:AY61"/>
    <mergeCell ref="AK21:AK33"/>
    <mergeCell ref="AL21:AL33"/>
    <mergeCell ref="AM21:AM33"/>
    <mergeCell ref="AN21:AN33"/>
    <mergeCell ref="AS21:AS33"/>
    <mergeCell ref="AT21:AT33"/>
    <mergeCell ref="AV21:AV33"/>
    <mergeCell ref="AX21:AX33"/>
    <mergeCell ref="AY21:AY33"/>
    <mergeCell ref="X21:X33"/>
    <mergeCell ref="Z21:Z33"/>
    <mergeCell ref="AB21:AB33"/>
    <mergeCell ref="AC21:AC33"/>
    <mergeCell ref="AD21:AD33"/>
    <mergeCell ref="AE21:AE33"/>
    <mergeCell ref="AF21:AF33"/>
    <mergeCell ref="AH21:AH33"/>
    <mergeCell ref="AJ21:AJ33"/>
    <mergeCell ref="J21:J33"/>
    <mergeCell ref="L21:L33"/>
    <mergeCell ref="N21:N33"/>
    <mergeCell ref="O21:O33"/>
    <mergeCell ref="P21:P33"/>
    <mergeCell ref="Q21:Q33"/>
    <mergeCell ref="R21:R33"/>
    <mergeCell ref="V21:V33"/>
    <mergeCell ref="W21:W33"/>
    <mergeCell ref="AN7:AN19"/>
    <mergeCell ref="AS7:AS19"/>
    <mergeCell ref="AE7:AE19"/>
    <mergeCell ref="AF7:AF19"/>
    <mergeCell ref="AH7:AH19"/>
    <mergeCell ref="AJ7:AJ19"/>
    <mergeCell ref="AK7:AK19"/>
    <mergeCell ref="AL7:AL19"/>
    <mergeCell ref="AM7:AM19"/>
    <mergeCell ref="DJ5:DL5"/>
    <mergeCell ref="DP7:DP19"/>
    <mergeCell ref="DQ7:DQ19"/>
    <mergeCell ref="BD7:BD19"/>
    <mergeCell ref="BF7:BF19"/>
    <mergeCell ref="AT7:AT19"/>
    <mergeCell ref="AV7:AV19"/>
    <mergeCell ref="AX7:AX19"/>
    <mergeCell ref="AY7:AY19"/>
    <mergeCell ref="AZ7:AZ19"/>
    <mergeCell ref="BA7:BA19"/>
    <mergeCell ref="BB7:BB19"/>
    <mergeCell ref="BS7:BS19"/>
    <mergeCell ref="BT7:BT19"/>
    <mergeCell ref="BG7:BG19"/>
    <mergeCell ref="BH7:BH19"/>
    <mergeCell ref="BI7:BI19"/>
    <mergeCell ref="BJ7:BJ19"/>
    <mergeCell ref="BN7:BN19"/>
    <mergeCell ref="BO7:BO19"/>
    <mergeCell ref="BQ7:BQ19"/>
    <mergeCell ref="CD7:CD19"/>
    <mergeCell ref="CE7:CE19"/>
    <mergeCell ref="BU7:BU19"/>
    <mergeCell ref="CI5:CI6"/>
    <mergeCell ref="CJ5:CJ6"/>
    <mergeCell ref="CK5:CN5"/>
    <mergeCell ref="CP5:CR5"/>
    <mergeCell ref="CS5:CV5"/>
    <mergeCell ref="CX5:CZ5"/>
    <mergeCell ref="DC5:DC6"/>
    <mergeCell ref="DD5:DD6"/>
    <mergeCell ref="DE5:DH5"/>
    <mergeCell ref="AZ5:BB5"/>
    <mergeCell ref="BC5:BF5"/>
    <mergeCell ref="BH5:BJ5"/>
    <mergeCell ref="BN5:BN6"/>
    <mergeCell ref="BO5:BO6"/>
    <mergeCell ref="BP5:BS5"/>
    <mergeCell ref="BU5:BW5"/>
    <mergeCell ref="BX5:CA5"/>
    <mergeCell ref="CC5:CE5"/>
    <mergeCell ref="BX4:CE4"/>
    <mergeCell ref="CK4:CR4"/>
    <mergeCell ref="CS4:CZ4"/>
    <mergeCell ref="DE4:DL4"/>
    <mergeCell ref="DM4:DT4"/>
    <mergeCell ref="C4:J4"/>
    <mergeCell ref="K4:R4"/>
    <mergeCell ref="Y4:AF4"/>
    <mergeCell ref="AG4:AN4"/>
    <mergeCell ref="AU4:BB4"/>
    <mergeCell ref="BC4:BJ4"/>
    <mergeCell ref="BP4:BW4"/>
    <mergeCell ref="N7:N19"/>
    <mergeCell ref="O7:O19"/>
    <mergeCell ref="P7:P19"/>
    <mergeCell ref="Q7:Q19"/>
    <mergeCell ref="R7:R19"/>
    <mergeCell ref="DR7:DR19"/>
    <mergeCell ref="DS7:DS19"/>
    <mergeCell ref="DM5:DP5"/>
    <mergeCell ref="DR5:DT5"/>
    <mergeCell ref="DI7:DI19"/>
    <mergeCell ref="DJ7:DJ19"/>
    <mergeCell ref="DK7:DK19"/>
    <mergeCell ref="DL7:DL19"/>
    <mergeCell ref="DN7:DN19"/>
    <mergeCell ref="DT7:DT19"/>
    <mergeCell ref="V7:V19"/>
    <mergeCell ref="W7:W19"/>
    <mergeCell ref="X7:X19"/>
    <mergeCell ref="Z7:Z19"/>
    <mergeCell ref="AB7:AB19"/>
    <mergeCell ref="AC7:AC19"/>
    <mergeCell ref="AD7:AD19"/>
    <mergeCell ref="AL5:AN5"/>
    <mergeCell ref="AU5:AX5"/>
    <mergeCell ref="A7:A19"/>
    <mergeCell ref="B7:B19"/>
    <mergeCell ref="D7:D19"/>
    <mergeCell ref="F7:F19"/>
    <mergeCell ref="G7:G19"/>
    <mergeCell ref="H7:H19"/>
    <mergeCell ref="I7:I19"/>
    <mergeCell ref="J7:J19"/>
    <mergeCell ref="L7:L1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5"/>
  <sheetViews>
    <sheetView workbookViewId="0">
      <selection activeCell="D50" sqref="D50"/>
    </sheetView>
  </sheetViews>
  <sheetFormatPr defaultRowHeight="14.4" x14ac:dyDescent="0.3"/>
  <cols>
    <col min="2" max="2" width="11.5546875" customWidth="1"/>
  </cols>
  <sheetData>
    <row r="2" spans="2:16" x14ac:dyDescent="0.3">
      <c r="B2" s="79" t="s">
        <v>27</v>
      </c>
      <c r="C2">
        <v>190</v>
      </c>
      <c r="D2">
        <v>340</v>
      </c>
      <c r="E2">
        <v>510</v>
      </c>
      <c r="F2">
        <v>192</v>
      </c>
      <c r="G2">
        <v>358</v>
      </c>
      <c r="H2">
        <v>510</v>
      </c>
      <c r="I2">
        <v>677</v>
      </c>
      <c r="J2">
        <v>178</v>
      </c>
      <c r="K2">
        <v>350</v>
      </c>
      <c r="L2">
        <v>492</v>
      </c>
      <c r="M2">
        <v>495</v>
      </c>
      <c r="N2">
        <v>180</v>
      </c>
      <c r="O2">
        <v>338</v>
      </c>
      <c r="P2">
        <v>480</v>
      </c>
    </row>
    <row r="3" spans="2:16" x14ac:dyDescent="0.3">
      <c r="B3" s="79" t="s">
        <v>101</v>
      </c>
      <c r="C3">
        <v>0.8</v>
      </c>
      <c r="D3">
        <v>0.8</v>
      </c>
      <c r="E3">
        <v>0.5</v>
      </c>
      <c r="F3">
        <v>0</v>
      </c>
      <c r="G3">
        <v>0.1</v>
      </c>
      <c r="H3">
        <v>0.2</v>
      </c>
      <c r="I3">
        <v>2</v>
      </c>
      <c r="J3">
        <v>0</v>
      </c>
      <c r="K3">
        <v>0.2</v>
      </c>
      <c r="L3">
        <v>0.4</v>
      </c>
      <c r="M3">
        <v>1.7</v>
      </c>
      <c r="N3">
        <v>1.3</v>
      </c>
      <c r="O3">
        <v>3.8</v>
      </c>
      <c r="P3">
        <v>2</v>
      </c>
    </row>
    <row r="4" spans="2:16" x14ac:dyDescent="0.3">
      <c r="B4" s="79" t="s">
        <v>117</v>
      </c>
      <c r="C4">
        <v>0</v>
      </c>
      <c r="D4">
        <v>0</v>
      </c>
      <c r="E4">
        <v>0</v>
      </c>
      <c r="F4">
        <v>0.25</v>
      </c>
      <c r="G4">
        <v>0.25</v>
      </c>
      <c r="H4">
        <v>0.25</v>
      </c>
      <c r="I4">
        <v>0.25</v>
      </c>
      <c r="J4">
        <v>0.5</v>
      </c>
      <c r="K4">
        <v>0.5</v>
      </c>
      <c r="L4">
        <v>0.5</v>
      </c>
      <c r="M4" s="79">
        <v>0.5</v>
      </c>
      <c r="N4" s="79">
        <v>0.75</v>
      </c>
      <c r="O4" s="79">
        <v>0.75</v>
      </c>
      <c r="P4" s="79">
        <v>0.75</v>
      </c>
    </row>
    <row r="5" spans="2:16" x14ac:dyDescent="0.3">
      <c r="B5" s="79" t="s">
        <v>104</v>
      </c>
      <c r="C5">
        <v>1E-3</v>
      </c>
      <c r="D5">
        <v>0</v>
      </c>
      <c r="E5">
        <v>2.3E-2</v>
      </c>
      <c r="F5">
        <v>1.5000000000000124E-2</v>
      </c>
      <c r="G5">
        <v>2.8000000000000025E-2</v>
      </c>
      <c r="H5">
        <v>5.0999999999999712E-2</v>
      </c>
      <c r="I5">
        <v>3.2999999999999918E-2</v>
      </c>
      <c r="J5">
        <v>1.9000000000000128E-2</v>
      </c>
      <c r="K5">
        <v>2.1999999999999797E-2</v>
      </c>
      <c r="L5">
        <v>5.600000000000005E-2</v>
      </c>
      <c r="M5">
        <v>4.0000000000000036E-2</v>
      </c>
      <c r="N5">
        <v>4.9999999999999822E-2</v>
      </c>
      <c r="O5">
        <v>0.14500000000000002</v>
      </c>
      <c r="P5">
        <v>9.4999999999999751E-2</v>
      </c>
    </row>
    <row r="6" spans="2:16" x14ac:dyDescent="0.3">
      <c r="B6" s="79" t="s">
        <v>105</v>
      </c>
      <c r="C6">
        <v>0</v>
      </c>
      <c r="D6">
        <v>1E-3</v>
      </c>
      <c r="E6">
        <v>1.7999999999999999E-2</v>
      </c>
      <c r="F6">
        <v>1.6000000000000014E-2</v>
      </c>
      <c r="G6">
        <v>3.0000000000000249E-2</v>
      </c>
      <c r="H6">
        <v>6.800000000000006E-2</v>
      </c>
      <c r="I6">
        <v>3.4999999999999698E-2</v>
      </c>
      <c r="J6">
        <v>2.2999999999999687E-2</v>
      </c>
      <c r="K6">
        <v>2.7000000000000135E-2</v>
      </c>
      <c r="L6">
        <v>5.2000000000000046E-2</v>
      </c>
      <c r="M6">
        <v>4.6000000000000263E-2</v>
      </c>
      <c r="N6">
        <v>5.3999999999999826E-2</v>
      </c>
      <c r="O6">
        <v>0.1419999999999999</v>
      </c>
      <c r="P6">
        <v>9.1000000000000192E-2</v>
      </c>
    </row>
    <row r="7" spans="2:16" x14ac:dyDescent="0.3">
      <c r="B7" s="79" t="s">
        <v>106</v>
      </c>
      <c r="C7">
        <v>2E-3</v>
      </c>
      <c r="D7">
        <v>0</v>
      </c>
      <c r="E7">
        <v>1.9E-2</v>
      </c>
      <c r="F7">
        <v>1.5000000000000124E-2</v>
      </c>
      <c r="G7">
        <v>2.4000000000000021E-2</v>
      </c>
      <c r="H7">
        <v>6.0999999999999943E-2</v>
      </c>
      <c r="I7">
        <v>4.4999999999999929E-2</v>
      </c>
      <c r="J7">
        <v>2.3000000000000131E-2</v>
      </c>
      <c r="K7">
        <v>2.3000000000000131E-2</v>
      </c>
      <c r="L7">
        <v>5.2999999999999936E-2</v>
      </c>
      <c r="M7">
        <v>4.6999999999999709E-2</v>
      </c>
      <c r="N7">
        <v>5.0999999999999712E-2</v>
      </c>
      <c r="O7">
        <v>0.13900000000000023</v>
      </c>
      <c r="P7">
        <v>9.6999999999999975E-2</v>
      </c>
    </row>
    <row r="8" spans="2:16" x14ac:dyDescent="0.3">
      <c r="B8" s="79" t="s">
        <v>107</v>
      </c>
      <c r="C8">
        <v>2E-3</v>
      </c>
      <c r="D8">
        <v>4.0000000000000001E-3</v>
      </c>
      <c r="E8">
        <v>2.4E-2</v>
      </c>
      <c r="F8">
        <v>9.9999999999997868E-3</v>
      </c>
      <c r="G8">
        <v>2.8000000000000025E-2</v>
      </c>
      <c r="H8">
        <v>5.7999999999999829E-2</v>
      </c>
      <c r="I8">
        <v>4.8999999999999932E-2</v>
      </c>
      <c r="J8">
        <v>2.0999999999999908E-2</v>
      </c>
      <c r="K8">
        <v>2.1999999999999797E-2</v>
      </c>
      <c r="L8">
        <v>5.600000000000005E-2</v>
      </c>
      <c r="M8">
        <v>4.4000000000000039E-2</v>
      </c>
      <c r="N8">
        <v>5.0000000000000266E-2</v>
      </c>
      <c r="O8">
        <v>0.14400000000000013</v>
      </c>
      <c r="P8">
        <v>8.7000000000000188E-2</v>
      </c>
    </row>
    <row r="9" spans="2:16" x14ac:dyDescent="0.3">
      <c r="B9" s="79" t="s">
        <v>108</v>
      </c>
      <c r="C9">
        <v>1E-3</v>
      </c>
      <c r="D9">
        <v>1E-3</v>
      </c>
      <c r="E9">
        <v>1.7000000000000001E-2</v>
      </c>
      <c r="F9">
        <v>1.2999999999999901E-2</v>
      </c>
      <c r="G9">
        <v>2.7000000000000135E-2</v>
      </c>
      <c r="H9">
        <v>6.1999999999999833E-2</v>
      </c>
      <c r="I9">
        <v>2.1999999999999797E-2</v>
      </c>
      <c r="J9">
        <v>2.2000000000000242E-2</v>
      </c>
      <c r="K9">
        <v>2.7000000000000135E-2</v>
      </c>
      <c r="L9">
        <v>5.7000000000000384E-2</v>
      </c>
      <c r="M9">
        <v>0.15399999999999991</v>
      </c>
      <c r="N9">
        <v>5.2000000000000046E-2</v>
      </c>
      <c r="O9">
        <v>0.1419999999999999</v>
      </c>
      <c r="P9">
        <v>9.9000000000000199E-2</v>
      </c>
    </row>
    <row r="10" spans="2:16" x14ac:dyDescent="0.3">
      <c r="B10" s="79" t="s">
        <v>109</v>
      </c>
      <c r="C10">
        <v>1E-3</v>
      </c>
      <c r="D10">
        <v>0</v>
      </c>
      <c r="E10">
        <v>1.2999999999999999E-2</v>
      </c>
      <c r="F10">
        <v>1.399999999999979E-2</v>
      </c>
      <c r="G10">
        <v>2.5999999999999801E-2</v>
      </c>
      <c r="H10">
        <v>7.9000000000000181E-2</v>
      </c>
      <c r="I10">
        <v>5.5999999999999606E-2</v>
      </c>
      <c r="J10">
        <v>1.8000000000000238E-2</v>
      </c>
      <c r="K10">
        <v>2.3000000000000131E-2</v>
      </c>
      <c r="L10">
        <v>4.9999999999999822E-2</v>
      </c>
      <c r="M10">
        <v>3.6000000000000032E-2</v>
      </c>
      <c r="N10">
        <v>5.500000000000016E-2</v>
      </c>
      <c r="O10">
        <v>0.1469999999999998</v>
      </c>
      <c r="P10">
        <v>9.7999999999999865E-2</v>
      </c>
    </row>
    <row r="11" spans="2:16" x14ac:dyDescent="0.3">
      <c r="B11" s="79" t="s">
        <v>110</v>
      </c>
      <c r="C11">
        <v>1E-3</v>
      </c>
      <c r="D11">
        <v>1E-3</v>
      </c>
      <c r="E11">
        <v>1.2999999999999999E-2</v>
      </c>
      <c r="F11">
        <v>1.499999999999968E-2</v>
      </c>
      <c r="G11">
        <v>2.9000000000000359E-2</v>
      </c>
      <c r="H11">
        <v>4.7000000000000153E-2</v>
      </c>
      <c r="I11">
        <v>3.3999999999999808E-2</v>
      </c>
      <c r="J11">
        <v>2.4000000000000021E-2</v>
      </c>
      <c r="K11">
        <v>2.4000000000000021E-2</v>
      </c>
      <c r="L11">
        <v>4.8000000000000043E-2</v>
      </c>
      <c r="M11">
        <v>5.1000000000000156E-2</v>
      </c>
      <c r="N11">
        <v>5.400000000000027E-2</v>
      </c>
      <c r="O11">
        <v>0.13899999999999979</v>
      </c>
      <c r="P11">
        <v>9.4999999999999751E-2</v>
      </c>
    </row>
    <row r="12" spans="2:16" x14ac:dyDescent="0.3">
      <c r="B12" s="79" t="s">
        <v>111</v>
      </c>
      <c r="C12">
        <v>2E-3</v>
      </c>
      <c r="D12">
        <v>0</v>
      </c>
      <c r="E12">
        <v>1.6E-2</v>
      </c>
      <c r="F12">
        <v>1.4000000000000234E-2</v>
      </c>
      <c r="G12">
        <v>2.4000000000000021E-2</v>
      </c>
      <c r="H12">
        <v>6.5999999999999837E-2</v>
      </c>
      <c r="I12">
        <v>4.3999999999999595E-2</v>
      </c>
      <c r="J12">
        <v>2.0999999999999908E-2</v>
      </c>
      <c r="K12">
        <v>2.0999999999999908E-2</v>
      </c>
      <c r="L12">
        <v>5.300000000000038E-2</v>
      </c>
      <c r="M12">
        <v>4.8999999999999932E-2</v>
      </c>
      <c r="N12">
        <v>5.1000000000000156E-2</v>
      </c>
      <c r="O12">
        <v>0.14400000000000013</v>
      </c>
      <c r="P12">
        <v>0.10000000000000009</v>
      </c>
    </row>
    <row r="13" spans="2:16" x14ac:dyDescent="0.3">
      <c r="B13" s="79" t="s">
        <v>112</v>
      </c>
      <c r="C13">
        <v>2E-3</v>
      </c>
      <c r="D13">
        <v>0</v>
      </c>
      <c r="E13">
        <v>1.7999999999999999E-2</v>
      </c>
      <c r="F13">
        <v>1.8000000000000238E-2</v>
      </c>
      <c r="G13">
        <v>2.8000000000000025E-2</v>
      </c>
      <c r="H13">
        <v>6.2000000000000277E-2</v>
      </c>
      <c r="I13">
        <v>4.4999999999999929E-2</v>
      </c>
      <c r="J13">
        <v>1.7000000000000348E-2</v>
      </c>
      <c r="K13">
        <v>2.0999999999999908E-2</v>
      </c>
      <c r="L13">
        <v>4.0000000000000036E-2</v>
      </c>
      <c r="M13">
        <v>4.8000000000000043E-2</v>
      </c>
      <c r="N13">
        <v>5.300000000000038E-2</v>
      </c>
      <c r="O13">
        <v>0.14300000000000024</v>
      </c>
      <c r="P13">
        <v>8.9999999999999858E-2</v>
      </c>
    </row>
    <row r="14" spans="2:16" x14ac:dyDescent="0.3">
      <c r="B14" s="79" t="s">
        <v>113</v>
      </c>
      <c r="C14">
        <v>2E-3</v>
      </c>
      <c r="D14">
        <v>1E-3</v>
      </c>
      <c r="E14">
        <v>1.7999999999999999E-2</v>
      </c>
      <c r="F14">
        <v>6.6999999999999726E-2</v>
      </c>
      <c r="G14">
        <v>2.8000000000000025E-2</v>
      </c>
      <c r="H14">
        <v>5.2999999999999936E-2</v>
      </c>
      <c r="I14">
        <v>4.1999999999999815E-2</v>
      </c>
      <c r="J14">
        <v>1.9000000000000128E-2</v>
      </c>
      <c r="K14">
        <v>2.3000000000000131E-2</v>
      </c>
      <c r="L14">
        <v>5.500000000000016E-2</v>
      </c>
      <c r="M14">
        <v>5.1000000000000156E-2</v>
      </c>
      <c r="N14">
        <v>5.2000000000000046E-2</v>
      </c>
      <c r="O14">
        <v>0.14300000000000024</v>
      </c>
      <c r="P14">
        <v>9.6999999999999975E-2</v>
      </c>
    </row>
    <row r="15" spans="2:16" x14ac:dyDescent="0.3">
      <c r="B15" s="79" t="s">
        <v>114</v>
      </c>
      <c r="C15">
        <v>1E-3</v>
      </c>
      <c r="D15">
        <v>1E-3</v>
      </c>
      <c r="E15">
        <v>1.4E-2</v>
      </c>
      <c r="F15">
        <v>1.0000000000000231E-2</v>
      </c>
      <c r="G15">
        <v>2.4000000000000021E-2</v>
      </c>
      <c r="H15">
        <v>5.699999999999994E-2</v>
      </c>
      <c r="I15">
        <v>6.0000000000000053E-2</v>
      </c>
      <c r="J15">
        <v>3.0000000000000249E-2</v>
      </c>
      <c r="K15">
        <v>3.2999999999999918E-2</v>
      </c>
      <c r="L15">
        <v>5.1000000000000156E-2</v>
      </c>
      <c r="M15">
        <v>3.4000000000000252E-2</v>
      </c>
      <c r="N15">
        <v>4.0999999999999925E-2</v>
      </c>
      <c r="O15">
        <v>0.14900000000000047</v>
      </c>
      <c r="P15">
        <v>9.0000000000000302E-2</v>
      </c>
    </row>
    <row r="16" spans="2:16" x14ac:dyDescent="0.3">
      <c r="B16" s="79" t="s">
        <v>115</v>
      </c>
      <c r="C16">
        <v>2E-3</v>
      </c>
      <c r="D16">
        <v>1E-3</v>
      </c>
      <c r="E16">
        <v>1.4E-2</v>
      </c>
      <c r="F16">
        <v>1.4000000000000234E-2</v>
      </c>
      <c r="G16">
        <v>2.7000000000000135E-2</v>
      </c>
      <c r="H16">
        <v>5.5999999999999606E-2</v>
      </c>
      <c r="I16">
        <v>4.4999999999999929E-2</v>
      </c>
      <c r="J16">
        <v>1.9000000000000128E-2</v>
      </c>
      <c r="K16">
        <v>2.0000000000000018E-2</v>
      </c>
      <c r="L16">
        <v>4.7000000000000153E-2</v>
      </c>
      <c r="M16">
        <v>5.500000000000016E-2</v>
      </c>
      <c r="N16">
        <v>0.15300000000000002</v>
      </c>
      <c r="O16">
        <v>0.1419999999999999</v>
      </c>
      <c r="P16">
        <v>8.8999999999999968E-2</v>
      </c>
    </row>
    <row r="17" spans="2:17" x14ac:dyDescent="0.3">
      <c r="B17" s="79" t="s">
        <v>116</v>
      </c>
      <c r="C17">
        <v>1E-3</v>
      </c>
      <c r="D17">
        <v>1E-3</v>
      </c>
      <c r="E17">
        <v>0.01</v>
      </c>
      <c r="F17">
        <v>1.2999999999999901E-2</v>
      </c>
      <c r="G17">
        <v>2.6999999999999691E-2</v>
      </c>
      <c r="H17">
        <v>6.1999999999999833E-2</v>
      </c>
      <c r="I17">
        <v>4.5999999999999819E-2</v>
      </c>
      <c r="J17">
        <v>2.0000000000000018E-2</v>
      </c>
      <c r="K17">
        <v>2.3000000000000131E-2</v>
      </c>
      <c r="L17">
        <v>5.500000000000016E-2</v>
      </c>
      <c r="M17">
        <v>3.5000000000000142E-2</v>
      </c>
      <c r="N17">
        <v>5.2999999999999936E-2</v>
      </c>
      <c r="O17">
        <v>0.13899999999999979</v>
      </c>
      <c r="P17">
        <v>8.9999999999999858E-2</v>
      </c>
    </row>
    <row r="21" spans="2:17" x14ac:dyDescent="0.3">
      <c r="B21" s="94" t="s">
        <v>27</v>
      </c>
      <c r="C21" s="94" t="s">
        <v>117</v>
      </c>
      <c r="D21" s="94" t="s">
        <v>104</v>
      </c>
      <c r="E21" s="94" t="s">
        <v>105</v>
      </c>
      <c r="F21" s="94" t="s">
        <v>106</v>
      </c>
      <c r="G21" s="94" t="s">
        <v>107</v>
      </c>
      <c r="H21" s="94" t="s">
        <v>108</v>
      </c>
      <c r="I21" s="94" t="s">
        <v>109</v>
      </c>
      <c r="J21" s="94" t="s">
        <v>110</v>
      </c>
      <c r="K21" s="94" t="s">
        <v>111</v>
      </c>
      <c r="L21" s="94" t="s">
        <v>112</v>
      </c>
      <c r="M21" s="94" t="s">
        <v>113</v>
      </c>
      <c r="N21" s="94" t="s">
        <v>114</v>
      </c>
      <c r="O21" s="94" t="s">
        <v>115</v>
      </c>
      <c r="P21" s="94" t="s">
        <v>116</v>
      </c>
      <c r="Q21" s="94" t="s">
        <v>101</v>
      </c>
    </row>
    <row r="22" spans="2:17" x14ac:dyDescent="0.3">
      <c r="B22" s="93">
        <v>190</v>
      </c>
      <c r="C22" s="93">
        <v>0</v>
      </c>
      <c r="D22" s="93">
        <v>1E-3</v>
      </c>
      <c r="E22" s="93">
        <v>0</v>
      </c>
      <c r="F22" s="93">
        <v>2E-3</v>
      </c>
      <c r="G22" s="93">
        <v>2E-3</v>
      </c>
      <c r="H22" s="93">
        <v>1E-3</v>
      </c>
      <c r="I22" s="93">
        <v>1E-3</v>
      </c>
      <c r="J22" s="93">
        <v>1E-3</v>
      </c>
      <c r="K22" s="93">
        <v>2E-3</v>
      </c>
      <c r="L22" s="93">
        <v>2E-3</v>
      </c>
      <c r="M22" s="93">
        <v>2E-3</v>
      </c>
      <c r="N22" s="93">
        <v>1E-3</v>
      </c>
      <c r="O22" s="93">
        <v>2E-3</v>
      </c>
      <c r="P22" s="93">
        <v>1E-3</v>
      </c>
      <c r="Q22" s="93">
        <v>0.8</v>
      </c>
    </row>
    <row r="23" spans="2:17" x14ac:dyDescent="0.3">
      <c r="B23" s="93">
        <v>340</v>
      </c>
      <c r="C23" s="93">
        <v>0</v>
      </c>
      <c r="D23" s="93">
        <v>0</v>
      </c>
      <c r="E23" s="93">
        <v>1E-3</v>
      </c>
      <c r="F23" s="93">
        <v>0</v>
      </c>
      <c r="G23" s="93">
        <v>4.0000000000000001E-3</v>
      </c>
      <c r="H23" s="93">
        <v>1E-3</v>
      </c>
      <c r="I23" s="93">
        <v>0</v>
      </c>
      <c r="J23" s="93">
        <v>1E-3</v>
      </c>
      <c r="K23" s="93">
        <v>0</v>
      </c>
      <c r="L23" s="93">
        <v>0</v>
      </c>
      <c r="M23" s="93">
        <v>1E-3</v>
      </c>
      <c r="N23" s="93">
        <v>1E-3</v>
      </c>
      <c r="O23" s="93">
        <v>1E-3</v>
      </c>
      <c r="P23" s="93">
        <v>1E-3</v>
      </c>
      <c r="Q23" s="93">
        <v>0.8</v>
      </c>
    </row>
    <row r="24" spans="2:17" x14ac:dyDescent="0.3">
      <c r="B24" s="93">
        <v>510</v>
      </c>
      <c r="C24" s="93">
        <v>0</v>
      </c>
      <c r="D24" s="93">
        <v>2.3E-2</v>
      </c>
      <c r="E24" s="93">
        <v>1.7999999999999999E-2</v>
      </c>
      <c r="F24" s="93">
        <v>1.9E-2</v>
      </c>
      <c r="G24" s="93">
        <v>2.4E-2</v>
      </c>
      <c r="H24" s="93">
        <v>1.7000000000000001E-2</v>
      </c>
      <c r="I24" s="93">
        <v>1.2999999999999999E-2</v>
      </c>
      <c r="J24" s="93">
        <v>1.2999999999999999E-2</v>
      </c>
      <c r="K24" s="93">
        <v>1.6E-2</v>
      </c>
      <c r="L24" s="93">
        <v>1.7999999999999999E-2</v>
      </c>
      <c r="M24" s="93">
        <v>1.7999999999999999E-2</v>
      </c>
      <c r="N24" s="93">
        <v>1.4E-2</v>
      </c>
      <c r="O24" s="93">
        <v>1.4E-2</v>
      </c>
      <c r="P24" s="93">
        <v>0.01</v>
      </c>
      <c r="Q24" s="93">
        <v>0.5</v>
      </c>
    </row>
    <row r="25" spans="2:17" x14ac:dyDescent="0.3">
      <c r="B25" s="93">
        <v>192</v>
      </c>
      <c r="C25" s="93">
        <v>0.25</v>
      </c>
      <c r="D25" s="93">
        <v>1.5000000000000124E-2</v>
      </c>
      <c r="E25" s="93">
        <v>1.6000000000000014E-2</v>
      </c>
      <c r="F25" s="93">
        <v>1.5000000000000124E-2</v>
      </c>
      <c r="G25" s="93">
        <v>9.9999999999997868E-3</v>
      </c>
      <c r="H25" s="93">
        <v>1.2999999999999901E-2</v>
      </c>
      <c r="I25" s="93">
        <v>1.399999999999979E-2</v>
      </c>
      <c r="J25" s="93">
        <v>1.499999999999968E-2</v>
      </c>
      <c r="K25" s="93">
        <v>1.4000000000000234E-2</v>
      </c>
      <c r="L25" s="93">
        <v>1.8000000000000238E-2</v>
      </c>
      <c r="M25" s="93">
        <v>6.6999999999999726E-2</v>
      </c>
      <c r="N25" s="93">
        <v>1.0000000000000231E-2</v>
      </c>
      <c r="O25" s="93">
        <v>1.4000000000000234E-2</v>
      </c>
      <c r="P25" s="93">
        <v>1.2999999999999901E-2</v>
      </c>
      <c r="Q25" s="93">
        <v>0</v>
      </c>
    </row>
    <row r="26" spans="2:17" x14ac:dyDescent="0.3">
      <c r="B26" s="93">
        <v>358</v>
      </c>
      <c r="C26" s="93">
        <v>0.25</v>
      </c>
      <c r="D26" s="93">
        <v>2.8000000000000025E-2</v>
      </c>
      <c r="E26" s="93">
        <v>3.0000000000000249E-2</v>
      </c>
      <c r="F26" s="93">
        <v>2.4000000000000021E-2</v>
      </c>
      <c r="G26" s="93">
        <v>2.8000000000000025E-2</v>
      </c>
      <c r="H26" s="93">
        <v>2.7000000000000135E-2</v>
      </c>
      <c r="I26" s="93">
        <v>2.5999999999999801E-2</v>
      </c>
      <c r="J26" s="93">
        <v>2.9000000000000359E-2</v>
      </c>
      <c r="K26" s="93">
        <v>2.4000000000000021E-2</v>
      </c>
      <c r="L26" s="93">
        <v>2.8000000000000025E-2</v>
      </c>
      <c r="M26" s="93">
        <v>2.8000000000000025E-2</v>
      </c>
      <c r="N26" s="93">
        <v>2.4000000000000021E-2</v>
      </c>
      <c r="O26" s="93">
        <v>2.7000000000000135E-2</v>
      </c>
      <c r="P26" s="93">
        <v>2.6999999999999691E-2</v>
      </c>
      <c r="Q26" s="93">
        <v>0.1</v>
      </c>
    </row>
    <row r="27" spans="2:17" x14ac:dyDescent="0.3">
      <c r="B27" s="93">
        <v>510</v>
      </c>
      <c r="C27" s="93">
        <v>0.25</v>
      </c>
      <c r="D27" s="93">
        <v>5.0999999999999712E-2</v>
      </c>
      <c r="E27" s="93">
        <v>6.800000000000006E-2</v>
      </c>
      <c r="F27" s="93">
        <v>6.0999999999999943E-2</v>
      </c>
      <c r="G27" s="93">
        <v>5.7999999999999829E-2</v>
      </c>
      <c r="H27" s="93">
        <v>6.1999999999999833E-2</v>
      </c>
      <c r="I27" s="93">
        <v>7.9000000000000181E-2</v>
      </c>
      <c r="J27" s="93">
        <v>4.7000000000000153E-2</v>
      </c>
      <c r="K27" s="93">
        <v>6.5999999999999837E-2</v>
      </c>
      <c r="L27" s="93">
        <v>6.2000000000000277E-2</v>
      </c>
      <c r="M27" s="93">
        <v>5.2999999999999936E-2</v>
      </c>
      <c r="N27" s="93">
        <v>5.699999999999994E-2</v>
      </c>
      <c r="O27" s="93">
        <v>5.5999999999999606E-2</v>
      </c>
      <c r="P27" s="93">
        <v>6.1999999999999833E-2</v>
      </c>
      <c r="Q27" s="93">
        <v>0.2</v>
      </c>
    </row>
    <row r="28" spans="2:17" x14ac:dyDescent="0.3">
      <c r="B28" s="93">
        <v>677</v>
      </c>
      <c r="C28" s="93">
        <v>0.25</v>
      </c>
      <c r="D28" s="93">
        <v>3.2999999999999918E-2</v>
      </c>
      <c r="E28" s="93">
        <v>3.4999999999999698E-2</v>
      </c>
      <c r="F28" s="93">
        <v>4.4999999999999929E-2</v>
      </c>
      <c r="G28" s="93">
        <v>4.8999999999999932E-2</v>
      </c>
      <c r="H28" s="93">
        <v>2.1999999999999797E-2</v>
      </c>
      <c r="I28" s="93">
        <v>5.5999999999999606E-2</v>
      </c>
      <c r="J28" s="93">
        <v>3.3999999999999808E-2</v>
      </c>
      <c r="K28" s="93">
        <v>4.3999999999999595E-2</v>
      </c>
      <c r="L28" s="93">
        <v>4.4999999999999929E-2</v>
      </c>
      <c r="M28" s="93">
        <v>4.1999999999999815E-2</v>
      </c>
      <c r="N28" s="93">
        <v>6.0000000000000053E-2</v>
      </c>
      <c r="O28" s="93">
        <v>4.4999999999999929E-2</v>
      </c>
      <c r="P28" s="93">
        <v>4.5999999999999819E-2</v>
      </c>
      <c r="Q28" s="93">
        <v>2</v>
      </c>
    </row>
    <row r="29" spans="2:17" x14ac:dyDescent="0.3">
      <c r="B29" s="93">
        <v>178</v>
      </c>
      <c r="C29" s="93">
        <v>0.5</v>
      </c>
      <c r="D29" s="93">
        <v>1.9000000000000128E-2</v>
      </c>
      <c r="E29" s="93">
        <v>2.2999999999999687E-2</v>
      </c>
      <c r="F29" s="93">
        <v>2.3000000000000131E-2</v>
      </c>
      <c r="G29" s="93">
        <v>2.0999999999999908E-2</v>
      </c>
      <c r="H29" s="93">
        <v>2.2000000000000242E-2</v>
      </c>
      <c r="I29" s="93">
        <v>1.8000000000000238E-2</v>
      </c>
      <c r="J29" s="93">
        <v>2.4000000000000021E-2</v>
      </c>
      <c r="K29" s="93">
        <v>2.0999999999999908E-2</v>
      </c>
      <c r="L29" s="93">
        <v>1.7000000000000348E-2</v>
      </c>
      <c r="M29" s="93">
        <v>1.9000000000000128E-2</v>
      </c>
      <c r="N29" s="93">
        <v>3.0000000000000249E-2</v>
      </c>
      <c r="O29" s="93">
        <v>1.9000000000000128E-2</v>
      </c>
      <c r="P29" s="93">
        <v>2.0000000000000018E-2</v>
      </c>
      <c r="Q29" s="93">
        <v>0</v>
      </c>
    </row>
    <row r="30" spans="2:17" x14ac:dyDescent="0.3">
      <c r="B30" s="93">
        <v>350</v>
      </c>
      <c r="C30" s="93">
        <v>0.5</v>
      </c>
      <c r="D30" s="93">
        <v>2.1999999999999797E-2</v>
      </c>
      <c r="E30" s="93">
        <v>2.7000000000000135E-2</v>
      </c>
      <c r="F30" s="93">
        <v>2.3000000000000131E-2</v>
      </c>
      <c r="G30" s="93">
        <v>2.1999999999999797E-2</v>
      </c>
      <c r="H30" s="93">
        <v>2.7000000000000135E-2</v>
      </c>
      <c r="I30" s="93">
        <v>2.3000000000000131E-2</v>
      </c>
      <c r="J30" s="93">
        <v>2.4000000000000021E-2</v>
      </c>
      <c r="K30" s="93">
        <v>2.0999999999999908E-2</v>
      </c>
      <c r="L30" s="93">
        <v>2.0999999999999908E-2</v>
      </c>
      <c r="M30" s="93">
        <v>2.3000000000000131E-2</v>
      </c>
      <c r="N30" s="93">
        <v>3.2999999999999918E-2</v>
      </c>
      <c r="O30" s="93">
        <v>2.0000000000000018E-2</v>
      </c>
      <c r="P30" s="93">
        <v>2.3000000000000131E-2</v>
      </c>
      <c r="Q30" s="93">
        <v>0.2</v>
      </c>
    </row>
    <row r="31" spans="2:17" x14ac:dyDescent="0.3">
      <c r="B31" s="93">
        <v>492</v>
      </c>
      <c r="C31" s="93">
        <v>0.5</v>
      </c>
      <c r="D31" s="93">
        <v>5.600000000000005E-2</v>
      </c>
      <c r="E31" s="93">
        <v>5.2000000000000046E-2</v>
      </c>
      <c r="F31" s="93">
        <v>5.2999999999999936E-2</v>
      </c>
      <c r="G31" s="93">
        <v>5.600000000000005E-2</v>
      </c>
      <c r="H31" s="93">
        <v>5.7000000000000384E-2</v>
      </c>
      <c r="I31" s="93">
        <v>4.9999999999999822E-2</v>
      </c>
      <c r="J31" s="93">
        <v>4.8000000000000043E-2</v>
      </c>
      <c r="K31" s="93">
        <v>5.300000000000038E-2</v>
      </c>
      <c r="L31" s="93">
        <v>4.0000000000000036E-2</v>
      </c>
      <c r="M31" s="93">
        <v>5.500000000000016E-2</v>
      </c>
      <c r="N31" s="93">
        <v>5.1000000000000156E-2</v>
      </c>
      <c r="O31" s="93">
        <v>4.7000000000000153E-2</v>
      </c>
      <c r="P31" s="93">
        <v>5.500000000000016E-2</v>
      </c>
      <c r="Q31" s="93">
        <v>0.4</v>
      </c>
    </row>
    <row r="32" spans="2:17" x14ac:dyDescent="0.3">
      <c r="B32" s="93">
        <v>495</v>
      </c>
      <c r="C32" s="92">
        <v>0.5</v>
      </c>
      <c r="D32" s="93">
        <v>4.0000000000000036E-2</v>
      </c>
      <c r="E32" s="93">
        <v>4.6000000000000263E-2</v>
      </c>
      <c r="F32" s="93">
        <v>4.6999999999999709E-2</v>
      </c>
      <c r="G32" s="93">
        <v>4.4000000000000039E-2</v>
      </c>
      <c r="H32" s="93">
        <v>0.15399999999999991</v>
      </c>
      <c r="I32" s="93">
        <v>3.6000000000000032E-2</v>
      </c>
      <c r="J32" s="93">
        <v>5.1000000000000156E-2</v>
      </c>
      <c r="K32" s="93">
        <v>4.8999999999999932E-2</v>
      </c>
      <c r="L32" s="93">
        <v>4.8000000000000043E-2</v>
      </c>
      <c r="M32" s="93">
        <v>5.1000000000000156E-2</v>
      </c>
      <c r="N32" s="93">
        <v>3.4000000000000252E-2</v>
      </c>
      <c r="O32" s="93">
        <v>5.500000000000016E-2</v>
      </c>
      <c r="P32" s="93">
        <v>3.5000000000000142E-2</v>
      </c>
      <c r="Q32" s="93">
        <v>1.7</v>
      </c>
    </row>
    <row r="33" spans="2:17" x14ac:dyDescent="0.3">
      <c r="B33" s="93">
        <v>180</v>
      </c>
      <c r="C33" s="92">
        <v>0.75</v>
      </c>
      <c r="D33" s="93">
        <v>4.9999999999999822E-2</v>
      </c>
      <c r="E33" s="93">
        <v>5.3999999999999826E-2</v>
      </c>
      <c r="F33" s="93">
        <v>5.0999999999999712E-2</v>
      </c>
      <c r="G33" s="93">
        <v>5.0000000000000266E-2</v>
      </c>
      <c r="H33" s="93">
        <v>5.2000000000000046E-2</v>
      </c>
      <c r="I33" s="93">
        <v>5.500000000000016E-2</v>
      </c>
      <c r="J33" s="93">
        <v>5.400000000000027E-2</v>
      </c>
      <c r="K33" s="93">
        <v>5.1000000000000156E-2</v>
      </c>
      <c r="L33" s="93">
        <v>5.300000000000038E-2</v>
      </c>
      <c r="M33" s="93">
        <v>5.2000000000000046E-2</v>
      </c>
      <c r="N33" s="93">
        <v>4.0999999999999925E-2</v>
      </c>
      <c r="O33" s="93">
        <v>0.15300000000000002</v>
      </c>
      <c r="P33" s="93">
        <v>5.2999999999999936E-2</v>
      </c>
      <c r="Q33" s="93">
        <v>1.3</v>
      </c>
    </row>
    <row r="34" spans="2:17" x14ac:dyDescent="0.3">
      <c r="B34" s="93">
        <v>338</v>
      </c>
      <c r="C34" s="92">
        <v>0.75</v>
      </c>
      <c r="D34" s="93">
        <v>0.14500000000000002</v>
      </c>
      <c r="E34" s="93">
        <v>0.1419999999999999</v>
      </c>
      <c r="F34" s="93">
        <v>0.13900000000000023</v>
      </c>
      <c r="G34" s="93">
        <v>0.14400000000000013</v>
      </c>
      <c r="H34" s="93">
        <v>0.1419999999999999</v>
      </c>
      <c r="I34" s="93">
        <v>0.1469999999999998</v>
      </c>
      <c r="J34" s="93">
        <v>0.13899999999999979</v>
      </c>
      <c r="K34" s="93">
        <v>0.14400000000000013</v>
      </c>
      <c r="L34" s="93">
        <v>0.14300000000000024</v>
      </c>
      <c r="M34" s="93">
        <v>0.14300000000000024</v>
      </c>
      <c r="N34" s="93">
        <v>0.14900000000000047</v>
      </c>
      <c r="O34" s="93">
        <v>0.1419999999999999</v>
      </c>
      <c r="P34" s="93">
        <v>0.13899999999999979</v>
      </c>
      <c r="Q34" s="93">
        <v>3.8</v>
      </c>
    </row>
    <row r="35" spans="2:17" x14ac:dyDescent="0.3">
      <c r="B35" s="93">
        <v>480</v>
      </c>
      <c r="C35" s="92">
        <v>0.75</v>
      </c>
      <c r="D35" s="93">
        <v>9.4999999999999751E-2</v>
      </c>
      <c r="E35" s="93">
        <v>9.1000000000000192E-2</v>
      </c>
      <c r="F35" s="93">
        <v>9.6999999999999975E-2</v>
      </c>
      <c r="G35" s="93">
        <v>8.7000000000000188E-2</v>
      </c>
      <c r="H35" s="93">
        <v>9.9000000000000199E-2</v>
      </c>
      <c r="I35" s="93">
        <v>9.7999999999999865E-2</v>
      </c>
      <c r="J35" s="93">
        <v>9.4999999999999751E-2</v>
      </c>
      <c r="K35" s="93">
        <v>0.10000000000000009</v>
      </c>
      <c r="L35" s="93">
        <v>8.9999999999999858E-2</v>
      </c>
      <c r="M35" s="93">
        <v>9.6999999999999975E-2</v>
      </c>
      <c r="N35" s="93">
        <v>9.0000000000000302E-2</v>
      </c>
      <c r="O35" s="93">
        <v>8.8999999999999968E-2</v>
      </c>
      <c r="P35" s="93">
        <v>8.9999999999999858E-2</v>
      </c>
      <c r="Q35" s="93">
        <v>2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1000"/>
  <sheetViews>
    <sheetView workbookViewId="0"/>
  </sheetViews>
  <sheetFormatPr defaultColWidth="14.44140625" defaultRowHeight="15" customHeight="1" x14ac:dyDescent="0.3"/>
  <cols>
    <col min="1" max="1" width="12.33203125" customWidth="1"/>
    <col min="2" max="2" width="35.109375" customWidth="1"/>
    <col min="3" max="3" width="14.33203125" customWidth="1"/>
    <col min="4" max="5" width="8.6640625" customWidth="1"/>
    <col min="6" max="6" width="19.88671875" customWidth="1"/>
    <col min="7" max="7" width="28.44140625" customWidth="1"/>
    <col min="8" max="8" width="19.88671875" customWidth="1"/>
    <col min="9" max="9" width="13.5546875" customWidth="1"/>
    <col min="10" max="13" width="8.6640625" customWidth="1"/>
    <col min="14" max="14" width="17.44140625" customWidth="1"/>
    <col min="15" max="19" width="8.6640625" customWidth="1"/>
    <col min="20" max="20" width="12.33203125" customWidth="1"/>
    <col min="21" max="21" width="28.33203125" customWidth="1"/>
    <col min="22" max="22" width="30.6640625" customWidth="1"/>
    <col min="23" max="28" width="8.6640625" customWidth="1"/>
    <col min="29" max="29" width="14" customWidth="1"/>
    <col min="30" max="33" width="8.6640625" customWidth="1"/>
    <col min="34" max="34" width="18.6640625" customWidth="1"/>
    <col min="35" max="36" width="8.6640625" customWidth="1"/>
    <col min="37" max="37" width="15.6640625" customWidth="1"/>
    <col min="38" max="39" width="8.6640625" customWidth="1"/>
    <col min="40" max="40" width="12.33203125" customWidth="1"/>
    <col min="41" max="41" width="30.6640625" customWidth="1"/>
    <col min="42" max="44" width="8.6640625" customWidth="1"/>
    <col min="45" max="45" width="15.6640625" customWidth="1"/>
    <col min="46" max="47" width="8.6640625" customWidth="1"/>
    <col min="48" max="48" width="19.33203125" customWidth="1"/>
    <col min="49" max="52" width="8.6640625" customWidth="1"/>
    <col min="53" max="53" width="14.44140625" customWidth="1"/>
    <col min="54" max="55" width="8.6640625" customWidth="1"/>
    <col min="56" max="56" width="17.44140625" customWidth="1"/>
    <col min="57" max="58" width="8.6640625" customWidth="1"/>
    <col min="59" max="59" width="12.33203125" customWidth="1"/>
    <col min="60" max="60" width="30.6640625" customWidth="1"/>
    <col min="61" max="63" width="8.6640625" customWidth="1"/>
    <col min="64" max="64" width="14.6640625" customWidth="1"/>
    <col min="65" max="66" width="8.6640625" customWidth="1"/>
    <col min="67" max="67" width="15.44140625" customWidth="1"/>
    <col min="68" max="68" width="13.33203125" customWidth="1"/>
    <col min="69" max="71" width="8.6640625" customWidth="1"/>
    <col min="72" max="72" width="15.109375" customWidth="1"/>
    <col min="73" max="74" width="8.6640625" customWidth="1"/>
    <col min="75" max="75" width="18.6640625" customWidth="1"/>
    <col min="76" max="77" width="8.6640625" customWidth="1"/>
    <col min="78" max="78" width="12.33203125" customWidth="1"/>
    <col min="79" max="79" width="30.6640625" customWidth="1"/>
    <col min="80" max="82" width="8.6640625" customWidth="1"/>
    <col min="83" max="83" width="19" customWidth="1"/>
    <col min="84" max="84" width="27.44140625" customWidth="1"/>
    <col min="85" max="85" width="8.6640625" customWidth="1"/>
    <col min="86" max="86" width="16.6640625" customWidth="1"/>
    <col min="87" max="90" width="8.6640625" customWidth="1"/>
    <col min="91" max="91" width="19" customWidth="1"/>
    <col min="92" max="92" width="20.33203125" customWidth="1"/>
    <col min="93" max="93" width="8.6640625" customWidth="1"/>
    <col min="94" max="94" width="16.6640625" customWidth="1"/>
    <col min="95" max="96" width="8.6640625" customWidth="1"/>
    <col min="97" max="97" width="12.33203125" customWidth="1"/>
    <col min="98" max="98" width="30.6640625" customWidth="1"/>
    <col min="99" max="101" width="8.6640625" customWidth="1"/>
    <col min="102" max="102" width="18.109375" customWidth="1"/>
    <col min="103" max="103" width="12.6640625" customWidth="1"/>
    <col min="104" max="104" width="8.6640625" customWidth="1"/>
    <col min="105" max="105" width="17.109375" customWidth="1"/>
    <col min="106" max="109" width="8.6640625" customWidth="1"/>
    <col min="110" max="110" width="13.88671875" customWidth="1"/>
    <col min="111" max="111" width="16.109375" customWidth="1"/>
    <col min="112" max="112" width="8.6640625" customWidth="1"/>
    <col min="113" max="113" width="13.5546875" customWidth="1"/>
    <col min="114" max="114" width="8.6640625" customWidth="1"/>
  </cols>
  <sheetData>
    <row r="1" spans="1:114" ht="14.25" customHeight="1" x14ac:dyDescent="0.3">
      <c r="A1" s="1" t="s">
        <v>0</v>
      </c>
      <c r="B1" s="2" t="s">
        <v>1</v>
      </c>
      <c r="T1" s="3"/>
      <c r="U1" s="1" t="s">
        <v>0</v>
      </c>
      <c r="V1" s="2" t="s">
        <v>1</v>
      </c>
      <c r="AN1" s="1" t="s">
        <v>0</v>
      </c>
      <c r="AO1" s="2" t="s">
        <v>1</v>
      </c>
      <c r="BG1" s="1" t="s">
        <v>0</v>
      </c>
      <c r="BH1" s="2" t="s">
        <v>1</v>
      </c>
      <c r="BZ1" s="1" t="s">
        <v>0</v>
      </c>
      <c r="CA1" s="2" t="s">
        <v>1</v>
      </c>
      <c r="CS1" s="1" t="s">
        <v>0</v>
      </c>
      <c r="CT1" s="2" t="s">
        <v>1</v>
      </c>
    </row>
    <row r="2" spans="1:114" ht="14.25" customHeight="1" x14ac:dyDescent="0.3">
      <c r="A2" s="4" t="s">
        <v>2</v>
      </c>
      <c r="B2" s="5" t="s">
        <v>3</v>
      </c>
      <c r="K2" s="6"/>
      <c r="L2" s="6"/>
      <c r="T2" s="3"/>
      <c r="U2" s="4" t="s">
        <v>2</v>
      </c>
      <c r="V2" s="5" t="s">
        <v>3</v>
      </c>
      <c r="AE2" s="6"/>
      <c r="AF2" s="6"/>
      <c r="AN2" s="4" t="s">
        <v>2</v>
      </c>
      <c r="AO2" s="5" t="s">
        <v>3</v>
      </c>
      <c r="AX2" s="6"/>
      <c r="AY2" s="6"/>
      <c r="BG2" s="4" t="s">
        <v>2</v>
      </c>
      <c r="BH2" s="5" t="s">
        <v>3</v>
      </c>
      <c r="BQ2" s="6"/>
      <c r="BR2" s="6"/>
      <c r="BZ2" s="4" t="s">
        <v>2</v>
      </c>
      <c r="CA2" s="5" t="s">
        <v>3</v>
      </c>
      <c r="CJ2" s="6"/>
      <c r="CK2" s="6"/>
      <c r="CS2" s="4" t="s">
        <v>2</v>
      </c>
      <c r="CT2" s="5" t="s">
        <v>3</v>
      </c>
      <c r="DC2" s="6"/>
      <c r="DD2" s="6"/>
    </row>
    <row r="3" spans="1:114" ht="67.5" customHeight="1" x14ac:dyDescent="0.3">
      <c r="A3" s="4" t="s">
        <v>4</v>
      </c>
      <c r="B3" s="5" t="s">
        <v>75</v>
      </c>
      <c r="T3" s="3"/>
      <c r="U3" s="4" t="s">
        <v>4</v>
      </c>
      <c r="V3" s="5" t="s">
        <v>75</v>
      </c>
      <c r="AN3" s="4" t="s">
        <v>4</v>
      </c>
      <c r="AO3" s="5" t="s">
        <v>75</v>
      </c>
      <c r="BG3" s="4" t="s">
        <v>4</v>
      </c>
      <c r="BH3" s="5" t="s">
        <v>75</v>
      </c>
      <c r="BZ3" s="4" t="s">
        <v>4</v>
      </c>
      <c r="CA3" s="5" t="s">
        <v>75</v>
      </c>
      <c r="CS3" s="4" t="s">
        <v>4</v>
      </c>
      <c r="CT3" s="5" t="s">
        <v>75</v>
      </c>
    </row>
    <row r="4" spans="1:114" ht="14.25" customHeight="1" x14ac:dyDescent="0.3">
      <c r="A4" s="7" t="s">
        <v>6</v>
      </c>
      <c r="B4" s="8" t="s">
        <v>7</v>
      </c>
      <c r="C4" s="118" t="s">
        <v>8</v>
      </c>
      <c r="D4" s="119"/>
      <c r="E4" s="119"/>
      <c r="F4" s="119"/>
      <c r="G4" s="119"/>
      <c r="H4" s="119"/>
      <c r="I4" s="119"/>
      <c r="J4" s="120"/>
      <c r="K4" s="118" t="s">
        <v>9</v>
      </c>
      <c r="L4" s="119"/>
      <c r="M4" s="119"/>
      <c r="N4" s="119"/>
      <c r="O4" s="119"/>
      <c r="P4" s="119"/>
      <c r="Q4" s="119"/>
      <c r="R4" s="120"/>
      <c r="T4" s="3"/>
      <c r="U4" s="7" t="s">
        <v>6</v>
      </c>
      <c r="V4" s="8" t="s">
        <v>11</v>
      </c>
      <c r="W4" s="118" t="s">
        <v>8</v>
      </c>
      <c r="X4" s="119"/>
      <c r="Y4" s="119"/>
      <c r="Z4" s="119"/>
      <c r="AA4" s="119"/>
      <c r="AB4" s="119"/>
      <c r="AC4" s="119"/>
      <c r="AD4" s="120"/>
      <c r="AE4" s="118" t="s">
        <v>9</v>
      </c>
      <c r="AF4" s="119"/>
      <c r="AG4" s="119"/>
      <c r="AH4" s="119"/>
      <c r="AI4" s="119"/>
      <c r="AJ4" s="119"/>
      <c r="AK4" s="119"/>
      <c r="AL4" s="120"/>
      <c r="AN4" s="7" t="s">
        <v>6</v>
      </c>
      <c r="AO4" s="8" t="s">
        <v>12</v>
      </c>
      <c r="AP4" s="118" t="s">
        <v>8</v>
      </c>
      <c r="AQ4" s="119"/>
      <c r="AR4" s="119"/>
      <c r="AS4" s="119"/>
      <c r="AT4" s="119"/>
      <c r="AU4" s="119"/>
      <c r="AV4" s="119"/>
      <c r="AW4" s="120"/>
      <c r="AX4" s="118" t="s">
        <v>9</v>
      </c>
      <c r="AY4" s="119"/>
      <c r="AZ4" s="119"/>
      <c r="BA4" s="119"/>
      <c r="BB4" s="119"/>
      <c r="BC4" s="119"/>
      <c r="BD4" s="119"/>
      <c r="BE4" s="120"/>
      <c r="BG4" s="7" t="s">
        <v>6</v>
      </c>
      <c r="BH4" s="8" t="s">
        <v>13</v>
      </c>
      <c r="BI4" s="118" t="s">
        <v>8</v>
      </c>
      <c r="BJ4" s="119"/>
      <c r="BK4" s="119"/>
      <c r="BL4" s="119"/>
      <c r="BM4" s="119"/>
      <c r="BN4" s="119"/>
      <c r="BO4" s="119"/>
      <c r="BP4" s="120"/>
      <c r="BQ4" s="118" t="s">
        <v>9</v>
      </c>
      <c r="BR4" s="119"/>
      <c r="BS4" s="119"/>
      <c r="BT4" s="119"/>
      <c r="BU4" s="119"/>
      <c r="BV4" s="119"/>
      <c r="BW4" s="119"/>
      <c r="BX4" s="120"/>
      <c r="BZ4" s="7" t="s">
        <v>6</v>
      </c>
      <c r="CA4" s="8" t="s">
        <v>14</v>
      </c>
      <c r="CB4" s="118" t="s">
        <v>8</v>
      </c>
      <c r="CC4" s="119"/>
      <c r="CD4" s="119"/>
      <c r="CE4" s="119"/>
      <c r="CF4" s="119"/>
      <c r="CG4" s="119"/>
      <c r="CH4" s="119"/>
      <c r="CI4" s="120"/>
      <c r="CJ4" s="118" t="s">
        <v>9</v>
      </c>
      <c r="CK4" s="119"/>
      <c r="CL4" s="119"/>
      <c r="CM4" s="119"/>
      <c r="CN4" s="119"/>
      <c r="CO4" s="119"/>
      <c r="CP4" s="119"/>
      <c r="CQ4" s="120"/>
      <c r="CS4" s="7" t="s">
        <v>6</v>
      </c>
      <c r="CT4" s="8" t="s">
        <v>10</v>
      </c>
      <c r="CU4" s="118" t="s">
        <v>8</v>
      </c>
      <c r="CV4" s="119"/>
      <c r="CW4" s="119"/>
      <c r="CX4" s="119"/>
      <c r="CY4" s="119"/>
      <c r="CZ4" s="119"/>
      <c r="DA4" s="119"/>
      <c r="DB4" s="120"/>
      <c r="DC4" s="118" t="s">
        <v>9</v>
      </c>
      <c r="DD4" s="119"/>
      <c r="DE4" s="119"/>
      <c r="DF4" s="119"/>
      <c r="DG4" s="119"/>
      <c r="DH4" s="119"/>
      <c r="DI4" s="119"/>
      <c r="DJ4" s="120"/>
    </row>
    <row r="5" spans="1:114" ht="14.25" customHeight="1" x14ac:dyDescent="0.3">
      <c r="A5" s="121" t="s">
        <v>15</v>
      </c>
      <c r="B5" s="123" t="s">
        <v>16</v>
      </c>
      <c r="C5" s="113" t="s">
        <v>17</v>
      </c>
      <c r="D5" s="114"/>
      <c r="E5" s="114"/>
      <c r="F5" s="115"/>
      <c r="G5" s="9" t="s">
        <v>18</v>
      </c>
      <c r="H5" s="113" t="s">
        <v>19</v>
      </c>
      <c r="I5" s="114"/>
      <c r="J5" s="115"/>
      <c r="K5" s="113" t="s">
        <v>17</v>
      </c>
      <c r="L5" s="114"/>
      <c r="M5" s="114"/>
      <c r="N5" s="115"/>
      <c r="O5" s="9" t="s">
        <v>18</v>
      </c>
      <c r="P5" s="113" t="s">
        <v>19</v>
      </c>
      <c r="Q5" s="114"/>
      <c r="R5" s="115"/>
      <c r="T5" s="123"/>
      <c r="U5" s="121" t="s">
        <v>15</v>
      </c>
      <c r="V5" s="123" t="s">
        <v>16</v>
      </c>
      <c r="W5" s="113" t="s">
        <v>17</v>
      </c>
      <c r="X5" s="114"/>
      <c r="Y5" s="114"/>
      <c r="Z5" s="115"/>
      <c r="AA5" s="9" t="s">
        <v>18</v>
      </c>
      <c r="AB5" s="113" t="s">
        <v>19</v>
      </c>
      <c r="AC5" s="114"/>
      <c r="AD5" s="115"/>
      <c r="AE5" s="113" t="s">
        <v>17</v>
      </c>
      <c r="AF5" s="114"/>
      <c r="AG5" s="114"/>
      <c r="AH5" s="115"/>
      <c r="AI5" s="9" t="s">
        <v>18</v>
      </c>
      <c r="AJ5" s="113" t="s">
        <v>19</v>
      </c>
      <c r="AK5" s="114"/>
      <c r="AL5" s="115"/>
      <c r="AN5" s="121" t="s">
        <v>15</v>
      </c>
      <c r="AO5" s="123" t="s">
        <v>16</v>
      </c>
      <c r="AP5" s="113" t="s">
        <v>17</v>
      </c>
      <c r="AQ5" s="114"/>
      <c r="AR5" s="114"/>
      <c r="AS5" s="115"/>
      <c r="AT5" s="9" t="s">
        <v>18</v>
      </c>
      <c r="AU5" s="113" t="s">
        <v>19</v>
      </c>
      <c r="AV5" s="114"/>
      <c r="AW5" s="115"/>
      <c r="AX5" s="113" t="s">
        <v>17</v>
      </c>
      <c r="AY5" s="114"/>
      <c r="AZ5" s="114"/>
      <c r="BA5" s="115"/>
      <c r="BB5" s="9" t="s">
        <v>18</v>
      </c>
      <c r="BC5" s="113" t="s">
        <v>19</v>
      </c>
      <c r="BD5" s="114"/>
      <c r="BE5" s="115"/>
      <c r="BG5" s="121" t="s">
        <v>15</v>
      </c>
      <c r="BH5" s="123" t="s">
        <v>16</v>
      </c>
      <c r="BI5" s="113" t="s">
        <v>17</v>
      </c>
      <c r="BJ5" s="114"/>
      <c r="BK5" s="114"/>
      <c r="BL5" s="115"/>
      <c r="BM5" s="9" t="s">
        <v>18</v>
      </c>
      <c r="BN5" s="113" t="s">
        <v>19</v>
      </c>
      <c r="BO5" s="114"/>
      <c r="BP5" s="115"/>
      <c r="BQ5" s="113" t="s">
        <v>17</v>
      </c>
      <c r="BR5" s="114"/>
      <c r="BS5" s="114"/>
      <c r="BT5" s="115"/>
      <c r="BU5" s="9" t="s">
        <v>18</v>
      </c>
      <c r="BV5" s="113" t="s">
        <v>19</v>
      </c>
      <c r="BW5" s="114"/>
      <c r="BX5" s="115"/>
      <c r="BZ5" s="121" t="s">
        <v>15</v>
      </c>
      <c r="CA5" s="123" t="s">
        <v>16</v>
      </c>
      <c r="CB5" s="113" t="s">
        <v>17</v>
      </c>
      <c r="CC5" s="114"/>
      <c r="CD5" s="114"/>
      <c r="CE5" s="115"/>
      <c r="CF5" s="9" t="s">
        <v>18</v>
      </c>
      <c r="CG5" s="113" t="s">
        <v>19</v>
      </c>
      <c r="CH5" s="114"/>
      <c r="CI5" s="115"/>
      <c r="CJ5" s="113" t="s">
        <v>17</v>
      </c>
      <c r="CK5" s="114"/>
      <c r="CL5" s="114"/>
      <c r="CM5" s="115"/>
      <c r="CN5" s="9" t="s">
        <v>18</v>
      </c>
      <c r="CO5" s="113" t="s">
        <v>19</v>
      </c>
      <c r="CP5" s="114"/>
      <c r="CQ5" s="115"/>
      <c r="CS5" s="121" t="s">
        <v>15</v>
      </c>
      <c r="CT5" s="123" t="s">
        <v>16</v>
      </c>
      <c r="CU5" s="113" t="s">
        <v>17</v>
      </c>
      <c r="CV5" s="114"/>
      <c r="CW5" s="114"/>
      <c r="CX5" s="115"/>
      <c r="CY5" s="9" t="s">
        <v>18</v>
      </c>
      <c r="CZ5" s="113" t="s">
        <v>19</v>
      </c>
      <c r="DA5" s="114"/>
      <c r="DB5" s="115"/>
      <c r="DC5" s="113" t="s">
        <v>17</v>
      </c>
      <c r="DD5" s="114"/>
      <c r="DE5" s="114"/>
      <c r="DF5" s="115"/>
      <c r="DG5" s="9" t="s">
        <v>18</v>
      </c>
      <c r="DH5" s="113" t="s">
        <v>19</v>
      </c>
      <c r="DI5" s="114"/>
      <c r="DJ5" s="115"/>
    </row>
    <row r="6" spans="1:114" ht="14.25" customHeight="1" x14ac:dyDescent="0.3">
      <c r="A6" s="122"/>
      <c r="B6" s="114"/>
      <c r="C6" s="9" t="s">
        <v>20</v>
      </c>
      <c r="D6" s="10" t="s">
        <v>21</v>
      </c>
      <c r="E6" s="10" t="s">
        <v>22</v>
      </c>
      <c r="F6" s="10" t="s">
        <v>23</v>
      </c>
      <c r="G6" s="10" t="s">
        <v>24</v>
      </c>
      <c r="H6" s="11" t="s">
        <v>25</v>
      </c>
      <c r="I6" s="9" t="s">
        <v>26</v>
      </c>
      <c r="J6" s="10" t="s">
        <v>27</v>
      </c>
      <c r="K6" s="9" t="s">
        <v>20</v>
      </c>
      <c r="L6" s="10" t="s">
        <v>21</v>
      </c>
      <c r="M6" s="10" t="s">
        <v>22</v>
      </c>
      <c r="N6" s="10" t="s">
        <v>23</v>
      </c>
      <c r="O6" s="10" t="s">
        <v>21</v>
      </c>
      <c r="P6" s="11" t="s">
        <v>25</v>
      </c>
      <c r="Q6" s="9" t="s">
        <v>26</v>
      </c>
      <c r="R6" s="10" t="s">
        <v>27</v>
      </c>
      <c r="T6" s="117"/>
      <c r="U6" s="122"/>
      <c r="V6" s="114"/>
      <c r="W6" s="9" t="s">
        <v>20</v>
      </c>
      <c r="X6" s="10" t="s">
        <v>21</v>
      </c>
      <c r="Y6" s="10" t="s">
        <v>22</v>
      </c>
      <c r="Z6" s="10" t="s">
        <v>23</v>
      </c>
      <c r="AA6" s="10" t="s">
        <v>24</v>
      </c>
      <c r="AB6" s="11" t="s">
        <v>25</v>
      </c>
      <c r="AC6" s="9" t="s">
        <v>26</v>
      </c>
      <c r="AD6" s="10" t="s">
        <v>27</v>
      </c>
      <c r="AE6" s="9" t="s">
        <v>20</v>
      </c>
      <c r="AF6" s="10" t="s">
        <v>21</v>
      </c>
      <c r="AG6" s="10" t="s">
        <v>22</v>
      </c>
      <c r="AH6" s="10" t="s">
        <v>23</v>
      </c>
      <c r="AI6" s="10" t="s">
        <v>21</v>
      </c>
      <c r="AJ6" s="11" t="s">
        <v>25</v>
      </c>
      <c r="AK6" s="9" t="s">
        <v>26</v>
      </c>
      <c r="AL6" s="10" t="s">
        <v>27</v>
      </c>
      <c r="AN6" s="122"/>
      <c r="AO6" s="114"/>
      <c r="AP6" s="9" t="s">
        <v>20</v>
      </c>
      <c r="AQ6" s="10" t="s">
        <v>21</v>
      </c>
      <c r="AR6" s="10" t="s">
        <v>22</v>
      </c>
      <c r="AS6" s="10" t="s">
        <v>23</v>
      </c>
      <c r="AT6" s="10" t="s">
        <v>24</v>
      </c>
      <c r="AU6" s="11" t="s">
        <v>25</v>
      </c>
      <c r="AV6" s="9" t="s">
        <v>26</v>
      </c>
      <c r="AW6" s="10" t="s">
        <v>27</v>
      </c>
      <c r="AX6" s="9" t="s">
        <v>20</v>
      </c>
      <c r="AY6" s="10" t="s">
        <v>21</v>
      </c>
      <c r="AZ6" s="10" t="s">
        <v>22</v>
      </c>
      <c r="BA6" s="10" t="s">
        <v>23</v>
      </c>
      <c r="BB6" s="10" t="s">
        <v>21</v>
      </c>
      <c r="BC6" s="11" t="s">
        <v>25</v>
      </c>
      <c r="BD6" s="9" t="s">
        <v>26</v>
      </c>
      <c r="BE6" s="10" t="s">
        <v>27</v>
      </c>
      <c r="BG6" s="122"/>
      <c r="BH6" s="114"/>
      <c r="BI6" s="9" t="s">
        <v>20</v>
      </c>
      <c r="BJ6" s="10" t="s">
        <v>21</v>
      </c>
      <c r="BK6" s="10" t="s">
        <v>22</v>
      </c>
      <c r="BL6" s="10" t="s">
        <v>23</v>
      </c>
      <c r="BM6" s="10" t="s">
        <v>24</v>
      </c>
      <c r="BN6" s="11" t="s">
        <v>25</v>
      </c>
      <c r="BO6" s="9" t="s">
        <v>26</v>
      </c>
      <c r="BP6" s="10" t="s">
        <v>27</v>
      </c>
      <c r="BQ6" s="9" t="s">
        <v>20</v>
      </c>
      <c r="BR6" s="10" t="s">
        <v>21</v>
      </c>
      <c r="BS6" s="10" t="s">
        <v>22</v>
      </c>
      <c r="BT6" s="10" t="s">
        <v>23</v>
      </c>
      <c r="BU6" s="10" t="s">
        <v>21</v>
      </c>
      <c r="BV6" s="11" t="s">
        <v>25</v>
      </c>
      <c r="BW6" s="9" t="s">
        <v>26</v>
      </c>
      <c r="BX6" s="10" t="s">
        <v>27</v>
      </c>
      <c r="BZ6" s="122"/>
      <c r="CA6" s="114"/>
      <c r="CB6" s="9" t="s">
        <v>20</v>
      </c>
      <c r="CC6" s="10" t="s">
        <v>21</v>
      </c>
      <c r="CD6" s="10" t="s">
        <v>22</v>
      </c>
      <c r="CE6" s="10" t="s">
        <v>23</v>
      </c>
      <c r="CF6" s="10" t="s">
        <v>24</v>
      </c>
      <c r="CG6" s="11" t="s">
        <v>25</v>
      </c>
      <c r="CH6" s="9" t="s">
        <v>26</v>
      </c>
      <c r="CI6" s="10" t="s">
        <v>27</v>
      </c>
      <c r="CJ6" s="9" t="s">
        <v>20</v>
      </c>
      <c r="CK6" s="10" t="s">
        <v>21</v>
      </c>
      <c r="CL6" s="10" t="s">
        <v>22</v>
      </c>
      <c r="CM6" s="10" t="s">
        <v>23</v>
      </c>
      <c r="CN6" s="10" t="s">
        <v>21</v>
      </c>
      <c r="CO6" s="11" t="s">
        <v>25</v>
      </c>
      <c r="CP6" s="9" t="s">
        <v>26</v>
      </c>
      <c r="CQ6" s="10" t="s">
        <v>27</v>
      </c>
      <c r="CS6" s="122"/>
      <c r="CT6" s="114"/>
      <c r="CU6" s="9" t="s">
        <v>20</v>
      </c>
      <c r="CV6" s="10" t="s">
        <v>21</v>
      </c>
      <c r="CW6" s="10" t="s">
        <v>22</v>
      </c>
      <c r="CX6" s="10" t="s">
        <v>23</v>
      </c>
      <c r="CY6" s="10" t="s">
        <v>24</v>
      </c>
      <c r="CZ6" s="11" t="s">
        <v>25</v>
      </c>
      <c r="DA6" s="9" t="s">
        <v>26</v>
      </c>
      <c r="DB6" s="10" t="s">
        <v>27</v>
      </c>
      <c r="DC6" s="9" t="s">
        <v>20</v>
      </c>
      <c r="DD6" s="10" t="s">
        <v>21</v>
      </c>
      <c r="DE6" s="10" t="s">
        <v>22</v>
      </c>
      <c r="DF6" s="10" t="s">
        <v>23</v>
      </c>
      <c r="DG6" s="10" t="s">
        <v>21</v>
      </c>
      <c r="DH6" s="11" t="s">
        <v>25</v>
      </c>
      <c r="DI6" s="9" t="s">
        <v>26</v>
      </c>
      <c r="DJ6" s="10" t="s">
        <v>27</v>
      </c>
    </row>
    <row r="7" spans="1:114" ht="14.25" customHeight="1" x14ac:dyDescent="0.3">
      <c r="A7" s="101">
        <v>1</v>
      </c>
      <c r="B7" s="104" t="s">
        <v>28</v>
      </c>
      <c r="C7" s="12" t="s">
        <v>29</v>
      </c>
      <c r="D7" s="104" t="s">
        <v>76</v>
      </c>
      <c r="E7" s="13">
        <v>3965</v>
      </c>
      <c r="F7" s="107">
        <v>94</v>
      </c>
      <c r="G7" s="104">
        <v>40</v>
      </c>
      <c r="H7" s="104">
        <v>30</v>
      </c>
      <c r="I7" s="108">
        <v>0.25</v>
      </c>
      <c r="J7" s="109" t="s">
        <v>77</v>
      </c>
      <c r="K7" s="12" t="s">
        <v>29</v>
      </c>
      <c r="L7" s="104" t="s">
        <v>78</v>
      </c>
      <c r="M7" s="13">
        <v>3961</v>
      </c>
      <c r="N7" s="112">
        <v>0.93</v>
      </c>
      <c r="O7" s="104">
        <v>47</v>
      </c>
      <c r="P7" s="104">
        <v>30</v>
      </c>
      <c r="Q7" s="108">
        <v>0.25</v>
      </c>
      <c r="R7" s="109" t="s">
        <v>79</v>
      </c>
      <c r="T7" s="116"/>
      <c r="U7" s="101">
        <v>1</v>
      </c>
      <c r="V7" s="104" t="s">
        <v>28</v>
      </c>
      <c r="W7" s="12" t="s">
        <v>29</v>
      </c>
      <c r="X7" s="104"/>
      <c r="Y7" s="13"/>
      <c r="Z7" s="107"/>
      <c r="AA7" s="104"/>
      <c r="AB7" s="104"/>
      <c r="AC7" s="108">
        <v>0.25</v>
      </c>
      <c r="AD7" s="109"/>
      <c r="AE7" s="12" t="s">
        <v>29</v>
      </c>
      <c r="AF7" s="104"/>
      <c r="AG7" s="13"/>
      <c r="AH7" s="112"/>
      <c r="AI7" s="104"/>
      <c r="AJ7" s="104"/>
      <c r="AK7" s="108">
        <v>0.25</v>
      </c>
      <c r="AL7" s="109"/>
      <c r="AN7" s="101">
        <v>1</v>
      </c>
      <c r="AO7" s="104" t="s">
        <v>28</v>
      </c>
      <c r="AP7" s="12" t="s">
        <v>29</v>
      </c>
      <c r="AQ7" s="104"/>
      <c r="AR7" s="13"/>
      <c r="AS7" s="107"/>
      <c r="AT7" s="104"/>
      <c r="AU7" s="104"/>
      <c r="AV7" s="108">
        <v>0.25</v>
      </c>
      <c r="AW7" s="109"/>
      <c r="AX7" s="12" t="s">
        <v>29</v>
      </c>
      <c r="AY7" s="104"/>
      <c r="AZ7" s="13"/>
      <c r="BA7" s="112"/>
      <c r="BB7" s="104"/>
      <c r="BC7" s="104"/>
      <c r="BD7" s="108">
        <v>0.25</v>
      </c>
      <c r="BE7" s="109"/>
      <c r="BG7" s="101">
        <v>1</v>
      </c>
      <c r="BH7" s="104" t="s">
        <v>28</v>
      </c>
      <c r="BI7" s="12" t="s">
        <v>29</v>
      </c>
      <c r="BJ7" s="104"/>
      <c r="BK7" s="13"/>
      <c r="BL7" s="107"/>
      <c r="BM7" s="104"/>
      <c r="BN7" s="104"/>
      <c r="BO7" s="108">
        <v>0.25</v>
      </c>
      <c r="BP7" s="109"/>
      <c r="BQ7" s="12" t="s">
        <v>29</v>
      </c>
      <c r="BR7" s="104"/>
      <c r="BS7" s="13"/>
      <c r="BT7" s="112"/>
      <c r="BU7" s="104"/>
      <c r="BV7" s="104"/>
      <c r="BW7" s="108">
        <v>0.25</v>
      </c>
      <c r="BX7" s="109"/>
      <c r="BZ7" s="101">
        <v>1</v>
      </c>
      <c r="CA7" s="104" t="s">
        <v>28</v>
      </c>
      <c r="CB7" s="12" t="s">
        <v>29</v>
      </c>
      <c r="CC7" s="104"/>
      <c r="CD7" s="13"/>
      <c r="CE7" s="107"/>
      <c r="CF7" s="104"/>
      <c r="CG7" s="104"/>
      <c r="CH7" s="108">
        <v>0.25</v>
      </c>
      <c r="CI7" s="109"/>
      <c r="CJ7" s="12" t="s">
        <v>29</v>
      </c>
      <c r="CK7" s="104"/>
      <c r="CL7" s="13"/>
      <c r="CM7" s="112"/>
      <c r="CN7" s="104"/>
      <c r="CO7" s="104"/>
      <c r="CP7" s="108">
        <v>0.25</v>
      </c>
      <c r="CQ7" s="109"/>
      <c r="CS7" s="101">
        <v>1</v>
      </c>
      <c r="CT7" s="104" t="s">
        <v>28</v>
      </c>
      <c r="CU7" s="12" t="s">
        <v>29</v>
      </c>
      <c r="CV7" s="104"/>
      <c r="CW7" s="13"/>
      <c r="CX7" s="107"/>
      <c r="CY7" s="104"/>
      <c r="CZ7" s="104"/>
      <c r="DA7" s="108">
        <v>0.25</v>
      </c>
      <c r="DB7" s="109"/>
      <c r="DC7" s="12" t="s">
        <v>29</v>
      </c>
      <c r="DD7" s="104"/>
      <c r="DE7" s="13"/>
      <c r="DF7" s="112"/>
      <c r="DG7" s="104"/>
      <c r="DH7" s="104"/>
      <c r="DI7" s="108">
        <v>0.25</v>
      </c>
      <c r="DJ7" s="109"/>
    </row>
    <row r="8" spans="1:114" ht="14.25" customHeight="1" x14ac:dyDescent="0.3">
      <c r="A8" s="102"/>
      <c r="B8" s="105"/>
      <c r="C8" s="18" t="s">
        <v>37</v>
      </c>
      <c r="D8" s="105"/>
      <c r="E8" s="19">
        <v>3962</v>
      </c>
      <c r="F8" s="105"/>
      <c r="G8" s="105"/>
      <c r="H8" s="105"/>
      <c r="I8" s="105"/>
      <c r="J8" s="110"/>
      <c r="K8" s="18" t="s">
        <v>37</v>
      </c>
      <c r="L8" s="105"/>
      <c r="M8" s="19">
        <v>3954</v>
      </c>
      <c r="N8" s="105"/>
      <c r="O8" s="105"/>
      <c r="P8" s="105"/>
      <c r="Q8" s="105"/>
      <c r="R8" s="110"/>
      <c r="T8" s="117"/>
      <c r="U8" s="102"/>
      <c r="V8" s="105"/>
      <c r="W8" s="18" t="s">
        <v>37</v>
      </c>
      <c r="X8" s="105"/>
      <c r="Y8" s="19"/>
      <c r="Z8" s="105"/>
      <c r="AA8" s="105"/>
      <c r="AB8" s="105"/>
      <c r="AC8" s="105"/>
      <c r="AD8" s="110"/>
      <c r="AE8" s="18" t="s">
        <v>37</v>
      </c>
      <c r="AF8" s="105"/>
      <c r="AG8" s="19"/>
      <c r="AH8" s="105"/>
      <c r="AI8" s="105"/>
      <c r="AJ8" s="105"/>
      <c r="AK8" s="105"/>
      <c r="AL8" s="110"/>
      <c r="AN8" s="102"/>
      <c r="AO8" s="105"/>
      <c r="AP8" s="18" t="s">
        <v>37</v>
      </c>
      <c r="AQ8" s="105"/>
      <c r="AR8" s="19"/>
      <c r="AS8" s="105"/>
      <c r="AT8" s="105"/>
      <c r="AU8" s="105"/>
      <c r="AV8" s="105"/>
      <c r="AW8" s="110"/>
      <c r="AX8" s="18" t="s">
        <v>37</v>
      </c>
      <c r="AY8" s="105"/>
      <c r="AZ8" s="19"/>
      <c r="BA8" s="105"/>
      <c r="BB8" s="105"/>
      <c r="BC8" s="105"/>
      <c r="BD8" s="105"/>
      <c r="BE8" s="110"/>
      <c r="BG8" s="102"/>
      <c r="BH8" s="105"/>
      <c r="BI8" s="18" t="s">
        <v>37</v>
      </c>
      <c r="BJ8" s="105"/>
      <c r="BK8" s="19"/>
      <c r="BL8" s="105"/>
      <c r="BM8" s="105"/>
      <c r="BN8" s="105"/>
      <c r="BO8" s="105"/>
      <c r="BP8" s="110"/>
      <c r="BQ8" s="18" t="s">
        <v>37</v>
      </c>
      <c r="BR8" s="105"/>
      <c r="BS8" s="19"/>
      <c r="BT8" s="105"/>
      <c r="BU8" s="105"/>
      <c r="BV8" s="105"/>
      <c r="BW8" s="105"/>
      <c r="BX8" s="110"/>
      <c r="BZ8" s="102"/>
      <c r="CA8" s="105"/>
      <c r="CB8" s="18" t="s">
        <v>37</v>
      </c>
      <c r="CC8" s="105"/>
      <c r="CD8" s="19"/>
      <c r="CE8" s="105"/>
      <c r="CF8" s="105"/>
      <c r="CG8" s="105"/>
      <c r="CH8" s="105"/>
      <c r="CI8" s="110"/>
      <c r="CJ8" s="18" t="s">
        <v>37</v>
      </c>
      <c r="CK8" s="105"/>
      <c r="CL8" s="19"/>
      <c r="CM8" s="105"/>
      <c r="CN8" s="105"/>
      <c r="CO8" s="105"/>
      <c r="CP8" s="105"/>
      <c r="CQ8" s="110"/>
      <c r="CS8" s="102"/>
      <c r="CT8" s="105"/>
      <c r="CU8" s="18" t="s">
        <v>37</v>
      </c>
      <c r="CV8" s="105"/>
      <c r="CW8" s="19"/>
      <c r="CX8" s="105"/>
      <c r="CY8" s="105"/>
      <c r="CZ8" s="105"/>
      <c r="DA8" s="105"/>
      <c r="DB8" s="110"/>
      <c r="DC8" s="18" t="s">
        <v>37</v>
      </c>
      <c r="DD8" s="105"/>
      <c r="DE8" s="19"/>
      <c r="DF8" s="105"/>
      <c r="DG8" s="105"/>
      <c r="DH8" s="105"/>
      <c r="DI8" s="105"/>
      <c r="DJ8" s="110"/>
    </row>
    <row r="9" spans="1:114" ht="14.25" customHeight="1" x14ac:dyDescent="0.3">
      <c r="A9" s="102"/>
      <c r="B9" s="105"/>
      <c r="C9" s="18" t="s">
        <v>38</v>
      </c>
      <c r="D9" s="105"/>
      <c r="E9" s="19">
        <v>3962</v>
      </c>
      <c r="F9" s="105"/>
      <c r="G9" s="105"/>
      <c r="H9" s="105"/>
      <c r="I9" s="105"/>
      <c r="J9" s="110"/>
      <c r="K9" s="18" t="s">
        <v>38</v>
      </c>
      <c r="L9" s="105"/>
      <c r="M9" s="19">
        <v>3956</v>
      </c>
      <c r="N9" s="105"/>
      <c r="O9" s="105"/>
      <c r="P9" s="105"/>
      <c r="Q9" s="105"/>
      <c r="R9" s="110"/>
      <c r="T9" s="117"/>
      <c r="U9" s="102"/>
      <c r="V9" s="105"/>
      <c r="W9" s="18" t="s">
        <v>38</v>
      </c>
      <c r="X9" s="105"/>
      <c r="Y9" s="19"/>
      <c r="Z9" s="105"/>
      <c r="AA9" s="105"/>
      <c r="AB9" s="105"/>
      <c r="AC9" s="105"/>
      <c r="AD9" s="110"/>
      <c r="AE9" s="18" t="s">
        <v>38</v>
      </c>
      <c r="AF9" s="105"/>
      <c r="AG9" s="19"/>
      <c r="AH9" s="105"/>
      <c r="AI9" s="105"/>
      <c r="AJ9" s="105"/>
      <c r="AK9" s="105"/>
      <c r="AL9" s="110"/>
      <c r="AN9" s="102"/>
      <c r="AO9" s="105"/>
      <c r="AP9" s="18" t="s">
        <v>38</v>
      </c>
      <c r="AQ9" s="105"/>
      <c r="AR9" s="19"/>
      <c r="AS9" s="105"/>
      <c r="AT9" s="105"/>
      <c r="AU9" s="105"/>
      <c r="AV9" s="105"/>
      <c r="AW9" s="110"/>
      <c r="AX9" s="18" t="s">
        <v>38</v>
      </c>
      <c r="AY9" s="105"/>
      <c r="AZ9" s="19"/>
      <c r="BA9" s="105"/>
      <c r="BB9" s="105"/>
      <c r="BC9" s="105"/>
      <c r="BD9" s="105"/>
      <c r="BE9" s="110"/>
      <c r="BG9" s="102"/>
      <c r="BH9" s="105"/>
      <c r="BI9" s="18" t="s">
        <v>38</v>
      </c>
      <c r="BJ9" s="105"/>
      <c r="BK9" s="19"/>
      <c r="BL9" s="105"/>
      <c r="BM9" s="105"/>
      <c r="BN9" s="105"/>
      <c r="BO9" s="105"/>
      <c r="BP9" s="110"/>
      <c r="BQ9" s="18" t="s">
        <v>38</v>
      </c>
      <c r="BR9" s="105"/>
      <c r="BS9" s="19"/>
      <c r="BT9" s="105"/>
      <c r="BU9" s="105"/>
      <c r="BV9" s="105"/>
      <c r="BW9" s="105"/>
      <c r="BX9" s="110"/>
      <c r="BZ9" s="102"/>
      <c r="CA9" s="105"/>
      <c r="CB9" s="18" t="s">
        <v>38</v>
      </c>
      <c r="CC9" s="105"/>
      <c r="CD9" s="19"/>
      <c r="CE9" s="105"/>
      <c r="CF9" s="105"/>
      <c r="CG9" s="105"/>
      <c r="CH9" s="105"/>
      <c r="CI9" s="110"/>
      <c r="CJ9" s="18" t="s">
        <v>38</v>
      </c>
      <c r="CK9" s="105"/>
      <c r="CL9" s="19"/>
      <c r="CM9" s="105"/>
      <c r="CN9" s="105"/>
      <c r="CO9" s="105"/>
      <c r="CP9" s="105"/>
      <c r="CQ9" s="110"/>
      <c r="CS9" s="102"/>
      <c r="CT9" s="105"/>
      <c r="CU9" s="18" t="s">
        <v>38</v>
      </c>
      <c r="CV9" s="105"/>
      <c r="CW9" s="19"/>
      <c r="CX9" s="105"/>
      <c r="CY9" s="105"/>
      <c r="CZ9" s="105"/>
      <c r="DA9" s="105"/>
      <c r="DB9" s="110"/>
      <c r="DC9" s="18" t="s">
        <v>38</v>
      </c>
      <c r="DD9" s="105"/>
      <c r="DE9" s="19"/>
      <c r="DF9" s="105"/>
      <c r="DG9" s="105"/>
      <c r="DH9" s="105"/>
      <c r="DI9" s="105"/>
      <c r="DJ9" s="110"/>
    </row>
    <row r="10" spans="1:114" ht="14.25" customHeight="1" x14ac:dyDescent="0.3">
      <c r="A10" s="102"/>
      <c r="B10" s="105"/>
      <c r="C10" s="18" t="s">
        <v>39</v>
      </c>
      <c r="D10" s="105"/>
      <c r="E10" s="13">
        <v>3965</v>
      </c>
      <c r="F10" s="105"/>
      <c r="G10" s="105"/>
      <c r="H10" s="105"/>
      <c r="I10" s="105"/>
      <c r="J10" s="110"/>
      <c r="K10" s="18" t="s">
        <v>39</v>
      </c>
      <c r="L10" s="105"/>
      <c r="M10" s="19">
        <v>3961</v>
      </c>
      <c r="N10" s="105"/>
      <c r="O10" s="105"/>
      <c r="P10" s="105"/>
      <c r="Q10" s="105"/>
      <c r="R10" s="110"/>
      <c r="T10" s="117"/>
      <c r="U10" s="102"/>
      <c r="V10" s="105"/>
      <c r="W10" s="18" t="s">
        <v>39</v>
      </c>
      <c r="X10" s="105"/>
      <c r="Y10" s="19"/>
      <c r="Z10" s="105"/>
      <c r="AA10" s="105"/>
      <c r="AB10" s="105"/>
      <c r="AC10" s="105"/>
      <c r="AD10" s="110"/>
      <c r="AE10" s="18" t="s">
        <v>39</v>
      </c>
      <c r="AF10" s="105"/>
      <c r="AG10" s="19"/>
      <c r="AH10" s="105"/>
      <c r="AI10" s="105"/>
      <c r="AJ10" s="105"/>
      <c r="AK10" s="105"/>
      <c r="AL10" s="110"/>
      <c r="AN10" s="102"/>
      <c r="AO10" s="105"/>
      <c r="AP10" s="18" t="s">
        <v>39</v>
      </c>
      <c r="AQ10" s="105"/>
      <c r="AR10" s="19"/>
      <c r="AS10" s="105"/>
      <c r="AT10" s="105"/>
      <c r="AU10" s="105"/>
      <c r="AV10" s="105"/>
      <c r="AW10" s="110"/>
      <c r="AX10" s="18" t="s">
        <v>39</v>
      </c>
      <c r="AY10" s="105"/>
      <c r="AZ10" s="19"/>
      <c r="BA10" s="105"/>
      <c r="BB10" s="105"/>
      <c r="BC10" s="105"/>
      <c r="BD10" s="105"/>
      <c r="BE10" s="110"/>
      <c r="BG10" s="102"/>
      <c r="BH10" s="105"/>
      <c r="BI10" s="18" t="s">
        <v>39</v>
      </c>
      <c r="BJ10" s="105"/>
      <c r="BK10" s="19"/>
      <c r="BL10" s="105"/>
      <c r="BM10" s="105"/>
      <c r="BN10" s="105"/>
      <c r="BO10" s="105"/>
      <c r="BP10" s="110"/>
      <c r="BQ10" s="18" t="s">
        <v>39</v>
      </c>
      <c r="BR10" s="105"/>
      <c r="BS10" s="19"/>
      <c r="BT10" s="105"/>
      <c r="BU10" s="105"/>
      <c r="BV10" s="105"/>
      <c r="BW10" s="105"/>
      <c r="BX10" s="110"/>
      <c r="BZ10" s="102"/>
      <c r="CA10" s="105"/>
      <c r="CB10" s="18" t="s">
        <v>39</v>
      </c>
      <c r="CC10" s="105"/>
      <c r="CD10" s="19"/>
      <c r="CE10" s="105"/>
      <c r="CF10" s="105"/>
      <c r="CG10" s="105"/>
      <c r="CH10" s="105"/>
      <c r="CI10" s="110"/>
      <c r="CJ10" s="18" t="s">
        <v>39</v>
      </c>
      <c r="CK10" s="105"/>
      <c r="CL10" s="19"/>
      <c r="CM10" s="105"/>
      <c r="CN10" s="105"/>
      <c r="CO10" s="105"/>
      <c r="CP10" s="105"/>
      <c r="CQ10" s="110"/>
      <c r="CS10" s="102"/>
      <c r="CT10" s="105"/>
      <c r="CU10" s="18" t="s">
        <v>39</v>
      </c>
      <c r="CV10" s="105"/>
      <c r="CW10" s="19"/>
      <c r="CX10" s="105"/>
      <c r="CY10" s="105"/>
      <c r="CZ10" s="105"/>
      <c r="DA10" s="105"/>
      <c r="DB10" s="110"/>
      <c r="DC10" s="18" t="s">
        <v>39</v>
      </c>
      <c r="DD10" s="105"/>
      <c r="DE10" s="19"/>
      <c r="DF10" s="105"/>
      <c r="DG10" s="105"/>
      <c r="DH10" s="105"/>
      <c r="DI10" s="105"/>
      <c r="DJ10" s="110"/>
    </row>
    <row r="11" spans="1:114" ht="14.25" customHeight="1" x14ac:dyDescent="0.3">
      <c r="A11" s="102"/>
      <c r="B11" s="105"/>
      <c r="C11" s="18" t="s">
        <v>40</v>
      </c>
      <c r="D11" s="105"/>
      <c r="E11" s="13">
        <v>3965</v>
      </c>
      <c r="F11" s="105"/>
      <c r="G11" s="105"/>
      <c r="H11" s="105"/>
      <c r="I11" s="105"/>
      <c r="J11" s="110"/>
      <c r="K11" s="18" t="s">
        <v>40</v>
      </c>
      <c r="L11" s="105"/>
      <c r="M11" s="19">
        <v>3962</v>
      </c>
      <c r="N11" s="105"/>
      <c r="O11" s="105"/>
      <c r="P11" s="105"/>
      <c r="Q11" s="105"/>
      <c r="R11" s="110"/>
      <c r="T11" s="117"/>
      <c r="U11" s="102"/>
      <c r="V11" s="105"/>
      <c r="W11" s="18" t="s">
        <v>40</v>
      </c>
      <c r="X11" s="105"/>
      <c r="Y11" s="19"/>
      <c r="Z11" s="105"/>
      <c r="AA11" s="105"/>
      <c r="AB11" s="105"/>
      <c r="AC11" s="105"/>
      <c r="AD11" s="110"/>
      <c r="AE11" s="18" t="s">
        <v>40</v>
      </c>
      <c r="AF11" s="105"/>
      <c r="AG11" s="19"/>
      <c r="AH11" s="105"/>
      <c r="AI11" s="105"/>
      <c r="AJ11" s="105"/>
      <c r="AK11" s="105"/>
      <c r="AL11" s="110"/>
      <c r="AN11" s="102"/>
      <c r="AO11" s="105"/>
      <c r="AP11" s="18" t="s">
        <v>40</v>
      </c>
      <c r="AQ11" s="105"/>
      <c r="AR11" s="19"/>
      <c r="AS11" s="105"/>
      <c r="AT11" s="105"/>
      <c r="AU11" s="105"/>
      <c r="AV11" s="105"/>
      <c r="AW11" s="110"/>
      <c r="AX11" s="18" t="s">
        <v>40</v>
      </c>
      <c r="AY11" s="105"/>
      <c r="AZ11" s="19"/>
      <c r="BA11" s="105"/>
      <c r="BB11" s="105"/>
      <c r="BC11" s="105"/>
      <c r="BD11" s="105"/>
      <c r="BE11" s="110"/>
      <c r="BG11" s="102"/>
      <c r="BH11" s="105"/>
      <c r="BI11" s="18" t="s">
        <v>40</v>
      </c>
      <c r="BJ11" s="105"/>
      <c r="BK11" s="19"/>
      <c r="BL11" s="105"/>
      <c r="BM11" s="105"/>
      <c r="BN11" s="105"/>
      <c r="BO11" s="105"/>
      <c r="BP11" s="110"/>
      <c r="BQ11" s="18" t="s">
        <v>40</v>
      </c>
      <c r="BR11" s="105"/>
      <c r="BS11" s="19"/>
      <c r="BT11" s="105"/>
      <c r="BU11" s="105"/>
      <c r="BV11" s="105"/>
      <c r="BW11" s="105"/>
      <c r="BX11" s="110"/>
      <c r="BZ11" s="102"/>
      <c r="CA11" s="105"/>
      <c r="CB11" s="18" t="s">
        <v>40</v>
      </c>
      <c r="CC11" s="105"/>
      <c r="CD11" s="19"/>
      <c r="CE11" s="105"/>
      <c r="CF11" s="105"/>
      <c r="CG11" s="105"/>
      <c r="CH11" s="105"/>
      <c r="CI11" s="110"/>
      <c r="CJ11" s="18" t="s">
        <v>40</v>
      </c>
      <c r="CK11" s="105"/>
      <c r="CL11" s="19"/>
      <c r="CM11" s="105"/>
      <c r="CN11" s="105"/>
      <c r="CO11" s="105"/>
      <c r="CP11" s="105"/>
      <c r="CQ11" s="110"/>
      <c r="CS11" s="102"/>
      <c r="CT11" s="105"/>
      <c r="CU11" s="18" t="s">
        <v>40</v>
      </c>
      <c r="CV11" s="105"/>
      <c r="CW11" s="19"/>
      <c r="CX11" s="105"/>
      <c r="CY11" s="105"/>
      <c r="CZ11" s="105"/>
      <c r="DA11" s="105"/>
      <c r="DB11" s="110"/>
      <c r="DC11" s="18" t="s">
        <v>40</v>
      </c>
      <c r="DD11" s="105"/>
      <c r="DE11" s="19"/>
      <c r="DF11" s="105"/>
      <c r="DG11" s="105"/>
      <c r="DH11" s="105"/>
      <c r="DI11" s="105"/>
      <c r="DJ11" s="110"/>
    </row>
    <row r="12" spans="1:114" ht="14.25" customHeight="1" x14ac:dyDescent="0.3">
      <c r="A12" s="102"/>
      <c r="B12" s="105"/>
      <c r="C12" s="18" t="s">
        <v>41</v>
      </c>
      <c r="D12" s="105"/>
      <c r="E12" s="19">
        <v>3967</v>
      </c>
      <c r="F12" s="105"/>
      <c r="G12" s="105"/>
      <c r="H12" s="105"/>
      <c r="I12" s="105"/>
      <c r="J12" s="110"/>
      <c r="K12" s="18" t="s">
        <v>41</v>
      </c>
      <c r="L12" s="105"/>
      <c r="M12" s="19">
        <v>3961</v>
      </c>
      <c r="N12" s="105"/>
      <c r="O12" s="105"/>
      <c r="P12" s="105"/>
      <c r="Q12" s="105"/>
      <c r="R12" s="110"/>
      <c r="T12" s="117"/>
      <c r="U12" s="102"/>
      <c r="V12" s="105"/>
      <c r="W12" s="18" t="s">
        <v>41</v>
      </c>
      <c r="X12" s="105"/>
      <c r="Y12" s="19"/>
      <c r="Z12" s="105"/>
      <c r="AA12" s="105"/>
      <c r="AB12" s="105"/>
      <c r="AC12" s="105"/>
      <c r="AD12" s="110"/>
      <c r="AE12" s="18" t="s">
        <v>41</v>
      </c>
      <c r="AF12" s="105"/>
      <c r="AG12" s="19"/>
      <c r="AH12" s="105"/>
      <c r="AI12" s="105"/>
      <c r="AJ12" s="105"/>
      <c r="AK12" s="105"/>
      <c r="AL12" s="110"/>
      <c r="AN12" s="102"/>
      <c r="AO12" s="105"/>
      <c r="AP12" s="18" t="s">
        <v>41</v>
      </c>
      <c r="AQ12" s="105"/>
      <c r="AR12" s="19"/>
      <c r="AS12" s="105"/>
      <c r="AT12" s="105"/>
      <c r="AU12" s="105"/>
      <c r="AV12" s="105"/>
      <c r="AW12" s="110"/>
      <c r="AX12" s="18" t="s">
        <v>41</v>
      </c>
      <c r="AY12" s="105"/>
      <c r="AZ12" s="19"/>
      <c r="BA12" s="105"/>
      <c r="BB12" s="105"/>
      <c r="BC12" s="105"/>
      <c r="BD12" s="105"/>
      <c r="BE12" s="110"/>
      <c r="BG12" s="102"/>
      <c r="BH12" s="105"/>
      <c r="BI12" s="18" t="s">
        <v>41</v>
      </c>
      <c r="BJ12" s="105"/>
      <c r="BK12" s="19"/>
      <c r="BL12" s="105"/>
      <c r="BM12" s="105"/>
      <c r="BN12" s="105"/>
      <c r="BO12" s="105"/>
      <c r="BP12" s="110"/>
      <c r="BQ12" s="18" t="s">
        <v>41</v>
      </c>
      <c r="BR12" s="105"/>
      <c r="BS12" s="19"/>
      <c r="BT12" s="105"/>
      <c r="BU12" s="105"/>
      <c r="BV12" s="105"/>
      <c r="BW12" s="105"/>
      <c r="BX12" s="110"/>
      <c r="BZ12" s="102"/>
      <c r="CA12" s="105"/>
      <c r="CB12" s="18" t="s">
        <v>41</v>
      </c>
      <c r="CC12" s="105"/>
      <c r="CD12" s="19"/>
      <c r="CE12" s="105"/>
      <c r="CF12" s="105"/>
      <c r="CG12" s="105"/>
      <c r="CH12" s="105"/>
      <c r="CI12" s="110"/>
      <c r="CJ12" s="18" t="s">
        <v>41</v>
      </c>
      <c r="CK12" s="105"/>
      <c r="CL12" s="19"/>
      <c r="CM12" s="105"/>
      <c r="CN12" s="105"/>
      <c r="CO12" s="105"/>
      <c r="CP12" s="105"/>
      <c r="CQ12" s="110"/>
      <c r="CS12" s="102"/>
      <c r="CT12" s="105"/>
      <c r="CU12" s="18" t="s">
        <v>41</v>
      </c>
      <c r="CV12" s="105"/>
      <c r="CW12" s="19"/>
      <c r="CX12" s="105"/>
      <c r="CY12" s="105"/>
      <c r="CZ12" s="105"/>
      <c r="DA12" s="105"/>
      <c r="DB12" s="110"/>
      <c r="DC12" s="18" t="s">
        <v>41</v>
      </c>
      <c r="DD12" s="105"/>
      <c r="DE12" s="19"/>
      <c r="DF12" s="105"/>
      <c r="DG12" s="105"/>
      <c r="DH12" s="105"/>
      <c r="DI12" s="105"/>
      <c r="DJ12" s="110"/>
    </row>
    <row r="13" spans="1:114" ht="14.25" customHeight="1" x14ac:dyDescent="0.3">
      <c r="A13" s="102"/>
      <c r="B13" s="105"/>
      <c r="C13" s="18" t="s">
        <v>42</v>
      </c>
      <c r="D13" s="105"/>
      <c r="E13" s="19">
        <v>3962</v>
      </c>
      <c r="F13" s="105"/>
      <c r="G13" s="105"/>
      <c r="H13" s="105"/>
      <c r="I13" s="105"/>
      <c r="J13" s="110"/>
      <c r="K13" s="18" t="s">
        <v>42</v>
      </c>
      <c r="L13" s="105"/>
      <c r="M13" s="19">
        <v>3954</v>
      </c>
      <c r="N13" s="105"/>
      <c r="O13" s="105"/>
      <c r="P13" s="105"/>
      <c r="Q13" s="105"/>
      <c r="R13" s="110"/>
      <c r="T13" s="117"/>
      <c r="U13" s="102"/>
      <c r="V13" s="105"/>
      <c r="W13" s="18" t="s">
        <v>42</v>
      </c>
      <c r="X13" s="105"/>
      <c r="Y13" s="19"/>
      <c r="Z13" s="105"/>
      <c r="AA13" s="105"/>
      <c r="AB13" s="105"/>
      <c r="AC13" s="105"/>
      <c r="AD13" s="110"/>
      <c r="AE13" s="18" t="s">
        <v>42</v>
      </c>
      <c r="AF13" s="105"/>
      <c r="AG13" s="19"/>
      <c r="AH13" s="105"/>
      <c r="AI13" s="105"/>
      <c r="AJ13" s="105"/>
      <c r="AK13" s="105"/>
      <c r="AL13" s="110"/>
      <c r="AN13" s="102"/>
      <c r="AO13" s="105"/>
      <c r="AP13" s="18" t="s">
        <v>42</v>
      </c>
      <c r="AQ13" s="105"/>
      <c r="AR13" s="19"/>
      <c r="AS13" s="105"/>
      <c r="AT13" s="105"/>
      <c r="AU13" s="105"/>
      <c r="AV13" s="105"/>
      <c r="AW13" s="110"/>
      <c r="AX13" s="18" t="s">
        <v>42</v>
      </c>
      <c r="AY13" s="105"/>
      <c r="AZ13" s="19"/>
      <c r="BA13" s="105"/>
      <c r="BB13" s="105"/>
      <c r="BC13" s="105"/>
      <c r="BD13" s="105"/>
      <c r="BE13" s="110"/>
      <c r="BG13" s="102"/>
      <c r="BH13" s="105"/>
      <c r="BI13" s="18" t="s">
        <v>42</v>
      </c>
      <c r="BJ13" s="105"/>
      <c r="BK13" s="19"/>
      <c r="BL13" s="105"/>
      <c r="BM13" s="105"/>
      <c r="BN13" s="105"/>
      <c r="BO13" s="105"/>
      <c r="BP13" s="110"/>
      <c r="BQ13" s="18" t="s">
        <v>42</v>
      </c>
      <c r="BR13" s="105"/>
      <c r="BS13" s="19"/>
      <c r="BT13" s="105"/>
      <c r="BU13" s="105"/>
      <c r="BV13" s="105"/>
      <c r="BW13" s="105"/>
      <c r="BX13" s="110"/>
      <c r="BZ13" s="102"/>
      <c r="CA13" s="105"/>
      <c r="CB13" s="18" t="s">
        <v>42</v>
      </c>
      <c r="CC13" s="105"/>
      <c r="CD13" s="19"/>
      <c r="CE13" s="105"/>
      <c r="CF13" s="105"/>
      <c r="CG13" s="105"/>
      <c r="CH13" s="105"/>
      <c r="CI13" s="110"/>
      <c r="CJ13" s="18" t="s">
        <v>42</v>
      </c>
      <c r="CK13" s="105"/>
      <c r="CL13" s="19"/>
      <c r="CM13" s="105"/>
      <c r="CN13" s="105"/>
      <c r="CO13" s="105"/>
      <c r="CP13" s="105"/>
      <c r="CQ13" s="110"/>
      <c r="CS13" s="102"/>
      <c r="CT13" s="105"/>
      <c r="CU13" s="18" t="s">
        <v>42</v>
      </c>
      <c r="CV13" s="105"/>
      <c r="CW13" s="19"/>
      <c r="CX13" s="105"/>
      <c r="CY13" s="105"/>
      <c r="CZ13" s="105"/>
      <c r="DA13" s="105"/>
      <c r="DB13" s="110"/>
      <c r="DC13" s="18" t="s">
        <v>42</v>
      </c>
      <c r="DD13" s="105"/>
      <c r="DE13" s="19"/>
      <c r="DF13" s="105"/>
      <c r="DG13" s="105"/>
      <c r="DH13" s="105"/>
      <c r="DI13" s="105"/>
      <c r="DJ13" s="110"/>
    </row>
    <row r="14" spans="1:114" ht="14.25" customHeight="1" x14ac:dyDescent="0.3">
      <c r="A14" s="102"/>
      <c r="B14" s="105"/>
      <c r="C14" s="18" t="s">
        <v>43</v>
      </c>
      <c r="D14" s="105"/>
      <c r="E14" s="19">
        <v>3956</v>
      </c>
      <c r="F14" s="105"/>
      <c r="G14" s="105"/>
      <c r="H14" s="105"/>
      <c r="I14" s="105"/>
      <c r="J14" s="110"/>
      <c r="K14" s="18" t="s">
        <v>43</v>
      </c>
      <c r="L14" s="105"/>
      <c r="M14" s="19">
        <v>3949</v>
      </c>
      <c r="N14" s="105"/>
      <c r="O14" s="105"/>
      <c r="P14" s="105"/>
      <c r="Q14" s="105"/>
      <c r="R14" s="110"/>
      <c r="T14" s="117"/>
      <c r="U14" s="102"/>
      <c r="V14" s="105"/>
      <c r="W14" s="18" t="s">
        <v>43</v>
      </c>
      <c r="X14" s="105"/>
      <c r="Y14" s="19"/>
      <c r="Z14" s="105"/>
      <c r="AA14" s="105"/>
      <c r="AB14" s="105"/>
      <c r="AC14" s="105"/>
      <c r="AD14" s="110"/>
      <c r="AE14" s="18" t="s">
        <v>43</v>
      </c>
      <c r="AF14" s="105"/>
      <c r="AG14" s="19"/>
      <c r="AH14" s="105"/>
      <c r="AI14" s="105"/>
      <c r="AJ14" s="105"/>
      <c r="AK14" s="105"/>
      <c r="AL14" s="110"/>
      <c r="AN14" s="102"/>
      <c r="AO14" s="105"/>
      <c r="AP14" s="18" t="s">
        <v>43</v>
      </c>
      <c r="AQ14" s="105"/>
      <c r="AR14" s="19"/>
      <c r="AS14" s="105"/>
      <c r="AT14" s="105"/>
      <c r="AU14" s="105"/>
      <c r="AV14" s="105"/>
      <c r="AW14" s="110"/>
      <c r="AX14" s="18" t="s">
        <v>43</v>
      </c>
      <c r="AY14" s="105"/>
      <c r="AZ14" s="19"/>
      <c r="BA14" s="105"/>
      <c r="BB14" s="105"/>
      <c r="BC14" s="105"/>
      <c r="BD14" s="105"/>
      <c r="BE14" s="110"/>
      <c r="BG14" s="102"/>
      <c r="BH14" s="105"/>
      <c r="BI14" s="18" t="s">
        <v>43</v>
      </c>
      <c r="BJ14" s="105"/>
      <c r="BK14" s="19"/>
      <c r="BL14" s="105"/>
      <c r="BM14" s="105"/>
      <c r="BN14" s="105"/>
      <c r="BO14" s="105"/>
      <c r="BP14" s="110"/>
      <c r="BQ14" s="18" t="s">
        <v>43</v>
      </c>
      <c r="BR14" s="105"/>
      <c r="BS14" s="19"/>
      <c r="BT14" s="105"/>
      <c r="BU14" s="105"/>
      <c r="BV14" s="105"/>
      <c r="BW14" s="105"/>
      <c r="BX14" s="110"/>
      <c r="BZ14" s="102"/>
      <c r="CA14" s="105"/>
      <c r="CB14" s="18" t="s">
        <v>43</v>
      </c>
      <c r="CC14" s="105"/>
      <c r="CD14" s="19"/>
      <c r="CE14" s="105"/>
      <c r="CF14" s="105"/>
      <c r="CG14" s="105"/>
      <c r="CH14" s="105"/>
      <c r="CI14" s="110"/>
      <c r="CJ14" s="18" t="s">
        <v>43</v>
      </c>
      <c r="CK14" s="105"/>
      <c r="CL14" s="19"/>
      <c r="CM14" s="105"/>
      <c r="CN14" s="105"/>
      <c r="CO14" s="105"/>
      <c r="CP14" s="105"/>
      <c r="CQ14" s="110"/>
      <c r="CS14" s="102"/>
      <c r="CT14" s="105"/>
      <c r="CU14" s="18" t="s">
        <v>43</v>
      </c>
      <c r="CV14" s="105"/>
      <c r="CW14" s="19"/>
      <c r="CX14" s="105"/>
      <c r="CY14" s="105"/>
      <c r="CZ14" s="105"/>
      <c r="DA14" s="105"/>
      <c r="DB14" s="110"/>
      <c r="DC14" s="18" t="s">
        <v>43</v>
      </c>
      <c r="DD14" s="105"/>
      <c r="DE14" s="19"/>
      <c r="DF14" s="105"/>
      <c r="DG14" s="105"/>
      <c r="DH14" s="105"/>
      <c r="DI14" s="105"/>
      <c r="DJ14" s="110"/>
    </row>
    <row r="15" spans="1:114" ht="14.25" customHeight="1" x14ac:dyDescent="0.3">
      <c r="A15" s="102"/>
      <c r="B15" s="105"/>
      <c r="C15" s="18" t="s">
        <v>44</v>
      </c>
      <c r="D15" s="105"/>
      <c r="E15" s="19">
        <v>3962</v>
      </c>
      <c r="F15" s="105"/>
      <c r="G15" s="105"/>
      <c r="H15" s="105"/>
      <c r="I15" s="105"/>
      <c r="J15" s="110"/>
      <c r="K15" s="18" t="s">
        <v>44</v>
      </c>
      <c r="L15" s="105"/>
      <c r="M15" s="19">
        <v>3956</v>
      </c>
      <c r="N15" s="105"/>
      <c r="O15" s="105"/>
      <c r="P15" s="105"/>
      <c r="Q15" s="105"/>
      <c r="R15" s="110"/>
      <c r="T15" s="117"/>
      <c r="U15" s="102"/>
      <c r="V15" s="105"/>
      <c r="W15" s="18" t="s">
        <v>44</v>
      </c>
      <c r="X15" s="105"/>
      <c r="Y15" s="19"/>
      <c r="Z15" s="105"/>
      <c r="AA15" s="105"/>
      <c r="AB15" s="105"/>
      <c r="AC15" s="105"/>
      <c r="AD15" s="110"/>
      <c r="AE15" s="18" t="s">
        <v>44</v>
      </c>
      <c r="AF15" s="105"/>
      <c r="AG15" s="19"/>
      <c r="AH15" s="105"/>
      <c r="AI15" s="105"/>
      <c r="AJ15" s="105"/>
      <c r="AK15" s="105"/>
      <c r="AL15" s="110"/>
      <c r="AN15" s="102"/>
      <c r="AO15" s="105"/>
      <c r="AP15" s="18" t="s">
        <v>44</v>
      </c>
      <c r="AQ15" s="105"/>
      <c r="AR15" s="19"/>
      <c r="AS15" s="105"/>
      <c r="AT15" s="105"/>
      <c r="AU15" s="105"/>
      <c r="AV15" s="105"/>
      <c r="AW15" s="110"/>
      <c r="AX15" s="18" t="s">
        <v>44</v>
      </c>
      <c r="AY15" s="105"/>
      <c r="AZ15" s="19"/>
      <c r="BA15" s="105"/>
      <c r="BB15" s="105"/>
      <c r="BC15" s="105"/>
      <c r="BD15" s="105"/>
      <c r="BE15" s="110"/>
      <c r="BG15" s="102"/>
      <c r="BH15" s="105"/>
      <c r="BI15" s="18" t="s">
        <v>44</v>
      </c>
      <c r="BJ15" s="105"/>
      <c r="BK15" s="19"/>
      <c r="BL15" s="105"/>
      <c r="BM15" s="105"/>
      <c r="BN15" s="105"/>
      <c r="BO15" s="105"/>
      <c r="BP15" s="110"/>
      <c r="BQ15" s="18" t="s">
        <v>44</v>
      </c>
      <c r="BR15" s="105"/>
      <c r="BS15" s="19"/>
      <c r="BT15" s="105"/>
      <c r="BU15" s="105"/>
      <c r="BV15" s="105"/>
      <c r="BW15" s="105"/>
      <c r="BX15" s="110"/>
      <c r="BZ15" s="102"/>
      <c r="CA15" s="105"/>
      <c r="CB15" s="18" t="s">
        <v>44</v>
      </c>
      <c r="CC15" s="105"/>
      <c r="CD15" s="19"/>
      <c r="CE15" s="105"/>
      <c r="CF15" s="105"/>
      <c r="CG15" s="105"/>
      <c r="CH15" s="105"/>
      <c r="CI15" s="110"/>
      <c r="CJ15" s="18" t="s">
        <v>44</v>
      </c>
      <c r="CK15" s="105"/>
      <c r="CL15" s="19"/>
      <c r="CM15" s="105"/>
      <c r="CN15" s="105"/>
      <c r="CO15" s="105"/>
      <c r="CP15" s="105"/>
      <c r="CQ15" s="110"/>
      <c r="CS15" s="102"/>
      <c r="CT15" s="105"/>
      <c r="CU15" s="18" t="s">
        <v>44</v>
      </c>
      <c r="CV15" s="105"/>
      <c r="CW15" s="19"/>
      <c r="CX15" s="105"/>
      <c r="CY15" s="105"/>
      <c r="CZ15" s="105"/>
      <c r="DA15" s="105"/>
      <c r="DB15" s="110"/>
      <c r="DC15" s="18" t="s">
        <v>44</v>
      </c>
      <c r="DD15" s="105"/>
      <c r="DE15" s="19"/>
      <c r="DF15" s="105"/>
      <c r="DG15" s="105"/>
      <c r="DH15" s="105"/>
      <c r="DI15" s="105"/>
      <c r="DJ15" s="110"/>
    </row>
    <row r="16" spans="1:114" ht="14.25" customHeight="1" x14ac:dyDescent="0.3">
      <c r="A16" s="102"/>
      <c r="B16" s="105"/>
      <c r="C16" s="18" t="s">
        <v>45</v>
      </c>
      <c r="D16" s="105"/>
      <c r="E16" s="19">
        <v>3961</v>
      </c>
      <c r="F16" s="105"/>
      <c r="G16" s="105"/>
      <c r="H16" s="105"/>
      <c r="I16" s="105"/>
      <c r="J16" s="110"/>
      <c r="K16" s="18" t="s">
        <v>45</v>
      </c>
      <c r="L16" s="105"/>
      <c r="M16" s="19">
        <v>3954</v>
      </c>
      <c r="N16" s="105"/>
      <c r="O16" s="105"/>
      <c r="P16" s="105"/>
      <c r="Q16" s="105"/>
      <c r="R16" s="110"/>
      <c r="T16" s="117"/>
      <c r="U16" s="102"/>
      <c r="V16" s="105"/>
      <c r="W16" s="18" t="s">
        <v>45</v>
      </c>
      <c r="X16" s="105"/>
      <c r="Y16" s="19"/>
      <c r="Z16" s="105"/>
      <c r="AA16" s="105"/>
      <c r="AB16" s="105"/>
      <c r="AC16" s="105"/>
      <c r="AD16" s="110"/>
      <c r="AE16" s="18" t="s">
        <v>45</v>
      </c>
      <c r="AF16" s="105"/>
      <c r="AG16" s="19"/>
      <c r="AH16" s="105"/>
      <c r="AI16" s="105"/>
      <c r="AJ16" s="105"/>
      <c r="AK16" s="105"/>
      <c r="AL16" s="110"/>
      <c r="AN16" s="102"/>
      <c r="AO16" s="105"/>
      <c r="AP16" s="18" t="s">
        <v>45</v>
      </c>
      <c r="AQ16" s="105"/>
      <c r="AR16" s="19"/>
      <c r="AS16" s="105"/>
      <c r="AT16" s="105"/>
      <c r="AU16" s="105"/>
      <c r="AV16" s="105"/>
      <c r="AW16" s="110"/>
      <c r="AX16" s="18" t="s">
        <v>45</v>
      </c>
      <c r="AY16" s="105"/>
      <c r="AZ16" s="19"/>
      <c r="BA16" s="105"/>
      <c r="BB16" s="105"/>
      <c r="BC16" s="105"/>
      <c r="BD16" s="105"/>
      <c r="BE16" s="110"/>
      <c r="BG16" s="102"/>
      <c r="BH16" s="105"/>
      <c r="BI16" s="18" t="s">
        <v>45</v>
      </c>
      <c r="BJ16" s="105"/>
      <c r="BK16" s="19"/>
      <c r="BL16" s="105"/>
      <c r="BM16" s="105"/>
      <c r="BN16" s="105"/>
      <c r="BO16" s="105"/>
      <c r="BP16" s="110"/>
      <c r="BQ16" s="18" t="s">
        <v>45</v>
      </c>
      <c r="BR16" s="105"/>
      <c r="BS16" s="19"/>
      <c r="BT16" s="105"/>
      <c r="BU16" s="105"/>
      <c r="BV16" s="105"/>
      <c r="BW16" s="105"/>
      <c r="BX16" s="110"/>
      <c r="BZ16" s="102"/>
      <c r="CA16" s="105"/>
      <c r="CB16" s="18" t="s">
        <v>45</v>
      </c>
      <c r="CC16" s="105"/>
      <c r="CD16" s="19"/>
      <c r="CE16" s="105"/>
      <c r="CF16" s="105"/>
      <c r="CG16" s="105"/>
      <c r="CH16" s="105"/>
      <c r="CI16" s="110"/>
      <c r="CJ16" s="18" t="s">
        <v>45</v>
      </c>
      <c r="CK16" s="105"/>
      <c r="CL16" s="19"/>
      <c r="CM16" s="105"/>
      <c r="CN16" s="105"/>
      <c r="CO16" s="105"/>
      <c r="CP16" s="105"/>
      <c r="CQ16" s="110"/>
      <c r="CS16" s="102"/>
      <c r="CT16" s="105"/>
      <c r="CU16" s="18" t="s">
        <v>45</v>
      </c>
      <c r="CV16" s="105"/>
      <c r="CW16" s="19"/>
      <c r="CX16" s="105"/>
      <c r="CY16" s="105"/>
      <c r="CZ16" s="105"/>
      <c r="DA16" s="105"/>
      <c r="DB16" s="110"/>
      <c r="DC16" s="18" t="s">
        <v>45</v>
      </c>
      <c r="DD16" s="105"/>
      <c r="DE16" s="19"/>
      <c r="DF16" s="105"/>
      <c r="DG16" s="105"/>
      <c r="DH16" s="105"/>
      <c r="DI16" s="105"/>
      <c r="DJ16" s="110"/>
    </row>
    <row r="17" spans="1:114" ht="14.25" customHeight="1" x14ac:dyDescent="0.3">
      <c r="A17" s="102"/>
      <c r="B17" s="105"/>
      <c r="C17" s="18" t="s">
        <v>46</v>
      </c>
      <c r="D17" s="105"/>
      <c r="E17" s="19">
        <v>3961</v>
      </c>
      <c r="F17" s="105"/>
      <c r="G17" s="105"/>
      <c r="H17" s="105"/>
      <c r="I17" s="105"/>
      <c r="J17" s="110"/>
      <c r="K17" s="18" t="s">
        <v>46</v>
      </c>
      <c r="L17" s="105"/>
      <c r="M17" s="19">
        <v>3953</v>
      </c>
      <c r="N17" s="105"/>
      <c r="O17" s="105"/>
      <c r="P17" s="105"/>
      <c r="Q17" s="105"/>
      <c r="R17" s="110"/>
      <c r="T17" s="117"/>
      <c r="U17" s="102"/>
      <c r="V17" s="105"/>
      <c r="W17" s="18" t="s">
        <v>46</v>
      </c>
      <c r="X17" s="105"/>
      <c r="Y17" s="19"/>
      <c r="Z17" s="105"/>
      <c r="AA17" s="105"/>
      <c r="AB17" s="105"/>
      <c r="AC17" s="105"/>
      <c r="AD17" s="110"/>
      <c r="AE17" s="18" t="s">
        <v>46</v>
      </c>
      <c r="AF17" s="105"/>
      <c r="AG17" s="19"/>
      <c r="AH17" s="105"/>
      <c r="AI17" s="105"/>
      <c r="AJ17" s="105"/>
      <c r="AK17" s="105"/>
      <c r="AL17" s="110"/>
      <c r="AN17" s="102"/>
      <c r="AO17" s="105"/>
      <c r="AP17" s="18" t="s">
        <v>46</v>
      </c>
      <c r="AQ17" s="105"/>
      <c r="AR17" s="19"/>
      <c r="AS17" s="105"/>
      <c r="AT17" s="105"/>
      <c r="AU17" s="105"/>
      <c r="AV17" s="105"/>
      <c r="AW17" s="110"/>
      <c r="AX17" s="18" t="s">
        <v>46</v>
      </c>
      <c r="AY17" s="105"/>
      <c r="AZ17" s="19"/>
      <c r="BA17" s="105"/>
      <c r="BB17" s="105"/>
      <c r="BC17" s="105"/>
      <c r="BD17" s="105"/>
      <c r="BE17" s="110"/>
      <c r="BG17" s="102"/>
      <c r="BH17" s="105"/>
      <c r="BI17" s="18" t="s">
        <v>46</v>
      </c>
      <c r="BJ17" s="105"/>
      <c r="BK17" s="19"/>
      <c r="BL17" s="105"/>
      <c r="BM17" s="105"/>
      <c r="BN17" s="105"/>
      <c r="BO17" s="105"/>
      <c r="BP17" s="110"/>
      <c r="BQ17" s="18" t="s">
        <v>46</v>
      </c>
      <c r="BR17" s="105"/>
      <c r="BS17" s="19"/>
      <c r="BT17" s="105"/>
      <c r="BU17" s="105"/>
      <c r="BV17" s="105"/>
      <c r="BW17" s="105"/>
      <c r="BX17" s="110"/>
      <c r="BZ17" s="102"/>
      <c r="CA17" s="105"/>
      <c r="CB17" s="18" t="s">
        <v>46</v>
      </c>
      <c r="CC17" s="105"/>
      <c r="CD17" s="19"/>
      <c r="CE17" s="105"/>
      <c r="CF17" s="105"/>
      <c r="CG17" s="105"/>
      <c r="CH17" s="105"/>
      <c r="CI17" s="110"/>
      <c r="CJ17" s="18" t="s">
        <v>46</v>
      </c>
      <c r="CK17" s="105"/>
      <c r="CL17" s="19"/>
      <c r="CM17" s="105"/>
      <c r="CN17" s="105"/>
      <c r="CO17" s="105"/>
      <c r="CP17" s="105"/>
      <c r="CQ17" s="110"/>
      <c r="CS17" s="102"/>
      <c r="CT17" s="105"/>
      <c r="CU17" s="18" t="s">
        <v>46</v>
      </c>
      <c r="CV17" s="105"/>
      <c r="CW17" s="19"/>
      <c r="CX17" s="105"/>
      <c r="CY17" s="105"/>
      <c r="CZ17" s="105"/>
      <c r="DA17" s="105"/>
      <c r="DB17" s="110"/>
      <c r="DC17" s="18" t="s">
        <v>46</v>
      </c>
      <c r="DD17" s="105"/>
      <c r="DE17" s="19"/>
      <c r="DF17" s="105"/>
      <c r="DG17" s="105"/>
      <c r="DH17" s="105"/>
      <c r="DI17" s="105"/>
      <c r="DJ17" s="110"/>
    </row>
    <row r="18" spans="1:114" ht="14.25" customHeight="1" x14ac:dyDescent="0.3">
      <c r="A18" s="102"/>
      <c r="B18" s="105"/>
      <c r="C18" s="18" t="s">
        <v>47</v>
      </c>
      <c r="D18" s="105"/>
      <c r="E18" s="19">
        <v>3967</v>
      </c>
      <c r="F18" s="105"/>
      <c r="G18" s="105"/>
      <c r="H18" s="105"/>
      <c r="I18" s="105"/>
      <c r="J18" s="110"/>
      <c r="K18" s="18" t="s">
        <v>47</v>
      </c>
      <c r="L18" s="105"/>
      <c r="M18" s="19">
        <v>3962</v>
      </c>
      <c r="N18" s="105"/>
      <c r="O18" s="105"/>
      <c r="P18" s="105"/>
      <c r="Q18" s="105"/>
      <c r="R18" s="110"/>
      <c r="T18" s="117"/>
      <c r="U18" s="102"/>
      <c r="V18" s="105"/>
      <c r="W18" s="18" t="s">
        <v>47</v>
      </c>
      <c r="X18" s="105"/>
      <c r="Y18" s="19"/>
      <c r="Z18" s="105"/>
      <c r="AA18" s="105"/>
      <c r="AB18" s="105"/>
      <c r="AC18" s="105"/>
      <c r="AD18" s="110"/>
      <c r="AE18" s="18" t="s">
        <v>47</v>
      </c>
      <c r="AF18" s="105"/>
      <c r="AG18" s="19"/>
      <c r="AH18" s="105"/>
      <c r="AI18" s="105"/>
      <c r="AJ18" s="105"/>
      <c r="AK18" s="105"/>
      <c r="AL18" s="110"/>
      <c r="AN18" s="102"/>
      <c r="AO18" s="105"/>
      <c r="AP18" s="18" t="s">
        <v>47</v>
      </c>
      <c r="AQ18" s="105"/>
      <c r="AR18" s="19"/>
      <c r="AS18" s="105"/>
      <c r="AT18" s="105"/>
      <c r="AU18" s="105"/>
      <c r="AV18" s="105"/>
      <c r="AW18" s="110"/>
      <c r="AX18" s="18" t="s">
        <v>47</v>
      </c>
      <c r="AY18" s="105"/>
      <c r="AZ18" s="19"/>
      <c r="BA18" s="105"/>
      <c r="BB18" s="105"/>
      <c r="BC18" s="105"/>
      <c r="BD18" s="105"/>
      <c r="BE18" s="110"/>
      <c r="BG18" s="102"/>
      <c r="BH18" s="105"/>
      <c r="BI18" s="18" t="s">
        <v>47</v>
      </c>
      <c r="BJ18" s="105"/>
      <c r="BK18" s="19"/>
      <c r="BL18" s="105"/>
      <c r="BM18" s="105"/>
      <c r="BN18" s="105"/>
      <c r="BO18" s="105"/>
      <c r="BP18" s="110"/>
      <c r="BQ18" s="18" t="s">
        <v>47</v>
      </c>
      <c r="BR18" s="105"/>
      <c r="BS18" s="19"/>
      <c r="BT18" s="105"/>
      <c r="BU18" s="105"/>
      <c r="BV18" s="105"/>
      <c r="BW18" s="105"/>
      <c r="BX18" s="110"/>
      <c r="BZ18" s="102"/>
      <c r="CA18" s="105"/>
      <c r="CB18" s="18" t="s">
        <v>47</v>
      </c>
      <c r="CC18" s="105"/>
      <c r="CD18" s="19"/>
      <c r="CE18" s="105"/>
      <c r="CF18" s="105"/>
      <c r="CG18" s="105"/>
      <c r="CH18" s="105"/>
      <c r="CI18" s="110"/>
      <c r="CJ18" s="18" t="s">
        <v>47</v>
      </c>
      <c r="CK18" s="105"/>
      <c r="CL18" s="19"/>
      <c r="CM18" s="105"/>
      <c r="CN18" s="105"/>
      <c r="CO18" s="105"/>
      <c r="CP18" s="105"/>
      <c r="CQ18" s="110"/>
      <c r="CS18" s="102"/>
      <c r="CT18" s="105"/>
      <c r="CU18" s="18" t="s">
        <v>47</v>
      </c>
      <c r="CV18" s="105"/>
      <c r="CW18" s="19"/>
      <c r="CX18" s="105"/>
      <c r="CY18" s="105"/>
      <c r="CZ18" s="105"/>
      <c r="DA18" s="105"/>
      <c r="DB18" s="110"/>
      <c r="DC18" s="18" t="s">
        <v>47</v>
      </c>
      <c r="DD18" s="105"/>
      <c r="DE18" s="19"/>
      <c r="DF18" s="105"/>
      <c r="DG18" s="105"/>
      <c r="DH18" s="105"/>
      <c r="DI18" s="105"/>
      <c r="DJ18" s="110"/>
    </row>
    <row r="19" spans="1:114" ht="14.25" customHeight="1" x14ac:dyDescent="0.3">
      <c r="A19" s="103"/>
      <c r="B19" s="106"/>
      <c r="C19" s="21" t="s">
        <v>48</v>
      </c>
      <c r="D19" s="106"/>
      <c r="E19" s="19">
        <v>3962</v>
      </c>
      <c r="F19" s="106"/>
      <c r="G19" s="106"/>
      <c r="H19" s="106"/>
      <c r="I19" s="106"/>
      <c r="J19" s="111"/>
      <c r="K19" s="21" t="s">
        <v>48</v>
      </c>
      <c r="L19" s="106"/>
      <c r="M19" s="19">
        <v>3956</v>
      </c>
      <c r="N19" s="106"/>
      <c r="O19" s="106"/>
      <c r="P19" s="106"/>
      <c r="Q19" s="106"/>
      <c r="R19" s="111"/>
      <c r="T19" s="117"/>
      <c r="U19" s="103"/>
      <c r="V19" s="106"/>
      <c r="W19" s="21" t="s">
        <v>48</v>
      </c>
      <c r="X19" s="106"/>
      <c r="Y19" s="22"/>
      <c r="Z19" s="106"/>
      <c r="AA19" s="106"/>
      <c r="AB19" s="106"/>
      <c r="AC19" s="106"/>
      <c r="AD19" s="111"/>
      <c r="AE19" s="21" t="s">
        <v>48</v>
      </c>
      <c r="AF19" s="106"/>
      <c r="AG19" s="22"/>
      <c r="AH19" s="106"/>
      <c r="AI19" s="106"/>
      <c r="AJ19" s="106"/>
      <c r="AK19" s="106"/>
      <c r="AL19" s="111"/>
      <c r="AN19" s="103"/>
      <c r="AO19" s="106"/>
      <c r="AP19" s="21" t="s">
        <v>48</v>
      </c>
      <c r="AQ19" s="106"/>
      <c r="AR19" s="22"/>
      <c r="AS19" s="106"/>
      <c r="AT19" s="106"/>
      <c r="AU19" s="106"/>
      <c r="AV19" s="106"/>
      <c r="AW19" s="111"/>
      <c r="AX19" s="21" t="s">
        <v>48</v>
      </c>
      <c r="AY19" s="106"/>
      <c r="AZ19" s="22"/>
      <c r="BA19" s="106"/>
      <c r="BB19" s="106"/>
      <c r="BC19" s="106"/>
      <c r="BD19" s="106"/>
      <c r="BE19" s="111"/>
      <c r="BG19" s="103"/>
      <c r="BH19" s="106"/>
      <c r="BI19" s="21" t="s">
        <v>48</v>
      </c>
      <c r="BJ19" s="106"/>
      <c r="BK19" s="22"/>
      <c r="BL19" s="106"/>
      <c r="BM19" s="106"/>
      <c r="BN19" s="106"/>
      <c r="BO19" s="106"/>
      <c r="BP19" s="111"/>
      <c r="BQ19" s="21" t="s">
        <v>48</v>
      </c>
      <c r="BR19" s="106"/>
      <c r="BS19" s="22"/>
      <c r="BT19" s="106"/>
      <c r="BU19" s="106"/>
      <c r="BV19" s="106"/>
      <c r="BW19" s="106"/>
      <c r="BX19" s="111"/>
      <c r="BZ19" s="103"/>
      <c r="CA19" s="106"/>
      <c r="CB19" s="21" t="s">
        <v>48</v>
      </c>
      <c r="CC19" s="106"/>
      <c r="CD19" s="22"/>
      <c r="CE19" s="106"/>
      <c r="CF19" s="106"/>
      <c r="CG19" s="106"/>
      <c r="CH19" s="106"/>
      <c r="CI19" s="111"/>
      <c r="CJ19" s="21" t="s">
        <v>48</v>
      </c>
      <c r="CK19" s="106"/>
      <c r="CL19" s="22"/>
      <c r="CM19" s="106"/>
      <c r="CN19" s="106"/>
      <c r="CO19" s="106"/>
      <c r="CP19" s="106"/>
      <c r="CQ19" s="111"/>
      <c r="CS19" s="103"/>
      <c r="CT19" s="106"/>
      <c r="CU19" s="21" t="s">
        <v>48</v>
      </c>
      <c r="CV19" s="106"/>
      <c r="CW19" s="22"/>
      <c r="CX19" s="106"/>
      <c r="CY19" s="106"/>
      <c r="CZ19" s="106"/>
      <c r="DA19" s="106"/>
      <c r="DB19" s="111"/>
      <c r="DC19" s="21" t="s">
        <v>48</v>
      </c>
      <c r="DD19" s="106"/>
      <c r="DE19" s="22"/>
      <c r="DF19" s="106"/>
      <c r="DG19" s="106"/>
      <c r="DH19" s="106"/>
      <c r="DI19" s="106"/>
      <c r="DJ19" s="111"/>
    </row>
    <row r="20" spans="1:114" ht="14.25" customHeight="1" x14ac:dyDescent="0.3">
      <c r="A20" s="66"/>
      <c r="B20" s="14"/>
      <c r="C20" s="26"/>
      <c r="D20" s="14"/>
      <c r="E20" s="67" t="s">
        <v>80</v>
      </c>
      <c r="F20" s="14"/>
      <c r="G20" s="14"/>
      <c r="H20" s="14"/>
      <c r="I20" s="14"/>
      <c r="J20" s="15"/>
      <c r="K20" s="26"/>
      <c r="L20" s="14"/>
      <c r="M20" s="27" t="s">
        <v>81</v>
      </c>
      <c r="N20" s="14"/>
      <c r="O20" s="14"/>
      <c r="P20" s="14"/>
      <c r="Q20" s="14"/>
      <c r="R20" s="15"/>
      <c r="T20" s="16"/>
      <c r="U20" s="66"/>
      <c r="V20" s="14"/>
      <c r="W20" s="26"/>
      <c r="X20" s="14"/>
      <c r="Y20" s="27"/>
      <c r="Z20" s="14"/>
      <c r="AA20" s="14"/>
      <c r="AB20" s="14"/>
      <c r="AC20" s="14"/>
      <c r="AD20" s="15"/>
      <c r="AE20" s="26"/>
      <c r="AF20" s="14"/>
      <c r="AG20" s="27"/>
      <c r="AH20" s="14"/>
      <c r="AI20" s="14"/>
      <c r="AJ20" s="14"/>
      <c r="AK20" s="14"/>
      <c r="AL20" s="15"/>
      <c r="AN20" s="66"/>
      <c r="AO20" s="14"/>
      <c r="AP20" s="26"/>
      <c r="AQ20" s="14"/>
      <c r="AR20" s="27"/>
      <c r="AS20" s="14"/>
      <c r="AT20" s="14"/>
      <c r="AU20" s="14"/>
      <c r="AV20" s="14"/>
      <c r="AW20" s="15"/>
      <c r="AX20" s="26"/>
      <c r="AY20" s="14"/>
      <c r="AZ20" s="27"/>
      <c r="BA20" s="14"/>
      <c r="BB20" s="14"/>
      <c r="BC20" s="14"/>
      <c r="BD20" s="14"/>
      <c r="BE20" s="15"/>
      <c r="BG20" s="66"/>
      <c r="BH20" s="14"/>
      <c r="BI20" s="26"/>
      <c r="BJ20" s="14"/>
      <c r="BK20" s="27"/>
      <c r="BL20" s="14"/>
      <c r="BM20" s="14"/>
      <c r="BN20" s="14"/>
      <c r="BO20" s="14"/>
      <c r="BP20" s="15"/>
      <c r="BQ20" s="26"/>
      <c r="BR20" s="14"/>
      <c r="BS20" s="27"/>
      <c r="BT20" s="14"/>
      <c r="BU20" s="14"/>
      <c r="BV20" s="14"/>
      <c r="BW20" s="14"/>
      <c r="BX20" s="15"/>
      <c r="BZ20" s="66"/>
      <c r="CA20" s="14"/>
      <c r="CB20" s="26"/>
      <c r="CC20" s="14"/>
      <c r="CD20" s="27"/>
      <c r="CE20" s="14"/>
      <c r="CF20" s="14"/>
      <c r="CG20" s="14"/>
      <c r="CH20" s="14"/>
      <c r="CI20" s="15"/>
      <c r="CJ20" s="26"/>
      <c r="CK20" s="14"/>
      <c r="CL20" s="27"/>
      <c r="CM20" s="14"/>
      <c r="CN20" s="14"/>
      <c r="CO20" s="14"/>
      <c r="CP20" s="14"/>
      <c r="CQ20" s="15"/>
      <c r="CS20" s="66"/>
      <c r="CT20" s="14"/>
      <c r="CU20" s="26"/>
      <c r="CV20" s="14"/>
      <c r="CW20" s="27"/>
      <c r="CX20" s="14"/>
      <c r="CY20" s="14"/>
      <c r="CZ20" s="14"/>
      <c r="DA20" s="14"/>
      <c r="DB20" s="15"/>
      <c r="DC20" s="26"/>
      <c r="DD20" s="14"/>
      <c r="DE20" s="27"/>
      <c r="DF20" s="14"/>
      <c r="DG20" s="14"/>
      <c r="DH20" s="14"/>
      <c r="DI20" s="14"/>
      <c r="DJ20" s="15"/>
    </row>
    <row r="21" spans="1:114" ht="14.25" customHeight="1" x14ac:dyDescent="0.3">
      <c r="A21" s="101">
        <v>1</v>
      </c>
      <c r="B21" s="104" t="s">
        <v>28</v>
      </c>
      <c r="C21" s="12" t="s">
        <v>29</v>
      </c>
      <c r="D21" s="104" t="s">
        <v>82</v>
      </c>
      <c r="E21" s="13">
        <v>3942</v>
      </c>
      <c r="F21" s="112">
        <v>0.93</v>
      </c>
      <c r="G21" s="104">
        <v>47</v>
      </c>
      <c r="H21" s="104">
        <v>30</v>
      </c>
      <c r="I21" s="108">
        <v>0.5</v>
      </c>
      <c r="J21" s="109" t="s">
        <v>83</v>
      </c>
      <c r="K21" s="12" t="s">
        <v>29</v>
      </c>
      <c r="L21" s="104" t="s">
        <v>84</v>
      </c>
      <c r="M21" s="13">
        <v>3935</v>
      </c>
      <c r="N21" s="112">
        <v>0.92</v>
      </c>
      <c r="O21" s="104">
        <v>48</v>
      </c>
      <c r="P21" s="104">
        <v>31</v>
      </c>
      <c r="Q21" s="108">
        <v>0.5</v>
      </c>
      <c r="R21" s="109" t="s">
        <v>85</v>
      </c>
      <c r="T21" s="116"/>
      <c r="U21" s="101">
        <v>1</v>
      </c>
      <c r="V21" s="104" t="s">
        <v>28</v>
      </c>
      <c r="W21" s="12" t="s">
        <v>29</v>
      </c>
      <c r="X21" s="104"/>
      <c r="Y21" s="13"/>
      <c r="Z21" s="112"/>
      <c r="AA21" s="104"/>
      <c r="AB21" s="104"/>
      <c r="AC21" s="108">
        <v>0.5</v>
      </c>
      <c r="AD21" s="109"/>
      <c r="AE21" s="12" t="s">
        <v>29</v>
      </c>
      <c r="AF21" s="104"/>
      <c r="AG21" s="13"/>
      <c r="AH21" s="112"/>
      <c r="AI21" s="104"/>
      <c r="AJ21" s="104"/>
      <c r="AK21" s="108">
        <v>0.5</v>
      </c>
      <c r="AL21" s="109"/>
      <c r="AN21" s="101">
        <v>1</v>
      </c>
      <c r="AO21" s="104" t="s">
        <v>28</v>
      </c>
      <c r="AP21" s="12" t="s">
        <v>29</v>
      </c>
      <c r="AQ21" s="104"/>
      <c r="AR21" s="13"/>
      <c r="AS21" s="112"/>
      <c r="AT21" s="104"/>
      <c r="AU21" s="104"/>
      <c r="AV21" s="108">
        <v>0.5</v>
      </c>
      <c r="AW21" s="109"/>
      <c r="AX21" s="12" t="s">
        <v>29</v>
      </c>
      <c r="AY21" s="104"/>
      <c r="AZ21" s="13"/>
      <c r="BA21" s="112"/>
      <c r="BB21" s="104"/>
      <c r="BC21" s="104"/>
      <c r="BD21" s="108">
        <v>0.5</v>
      </c>
      <c r="BE21" s="109"/>
      <c r="BG21" s="101">
        <v>1</v>
      </c>
      <c r="BH21" s="104" t="s">
        <v>28</v>
      </c>
      <c r="BI21" s="12" t="s">
        <v>29</v>
      </c>
      <c r="BJ21" s="104"/>
      <c r="BK21" s="13"/>
      <c r="BL21" s="112"/>
      <c r="BM21" s="104"/>
      <c r="BN21" s="104"/>
      <c r="BO21" s="108">
        <v>0.5</v>
      </c>
      <c r="BP21" s="109"/>
      <c r="BQ21" s="12" t="s">
        <v>29</v>
      </c>
      <c r="BR21" s="104"/>
      <c r="BS21" s="13"/>
      <c r="BT21" s="112"/>
      <c r="BU21" s="104"/>
      <c r="BV21" s="104"/>
      <c r="BW21" s="108">
        <v>0.5</v>
      </c>
      <c r="BX21" s="109"/>
      <c r="BZ21" s="101">
        <v>1</v>
      </c>
      <c r="CA21" s="104" t="s">
        <v>28</v>
      </c>
      <c r="CB21" s="12" t="s">
        <v>29</v>
      </c>
      <c r="CC21" s="104"/>
      <c r="CD21" s="13"/>
      <c r="CE21" s="112"/>
      <c r="CF21" s="104"/>
      <c r="CG21" s="104"/>
      <c r="CH21" s="108">
        <v>0.5</v>
      </c>
      <c r="CI21" s="109"/>
      <c r="CJ21" s="12" t="s">
        <v>29</v>
      </c>
      <c r="CK21" s="104"/>
      <c r="CL21" s="13"/>
      <c r="CM21" s="112"/>
      <c r="CN21" s="104"/>
      <c r="CO21" s="104"/>
      <c r="CP21" s="108">
        <v>0.5</v>
      </c>
      <c r="CQ21" s="109"/>
      <c r="CS21" s="101">
        <v>1</v>
      </c>
      <c r="CT21" s="104" t="s">
        <v>28</v>
      </c>
      <c r="CU21" s="12" t="s">
        <v>29</v>
      </c>
      <c r="CV21" s="104"/>
      <c r="CW21" s="13"/>
      <c r="CX21" s="112"/>
      <c r="CY21" s="104"/>
      <c r="CZ21" s="104"/>
      <c r="DA21" s="108">
        <v>0.5</v>
      </c>
      <c r="DB21" s="109"/>
      <c r="DC21" s="12" t="s">
        <v>29</v>
      </c>
      <c r="DD21" s="104"/>
      <c r="DE21" s="13"/>
      <c r="DF21" s="112"/>
      <c r="DG21" s="104"/>
      <c r="DH21" s="104"/>
      <c r="DI21" s="108">
        <v>0.5</v>
      </c>
      <c r="DJ21" s="109"/>
    </row>
    <row r="22" spans="1:114" ht="14.25" customHeight="1" x14ac:dyDescent="0.3">
      <c r="A22" s="102"/>
      <c r="B22" s="105"/>
      <c r="C22" s="18" t="s">
        <v>37</v>
      </c>
      <c r="D22" s="105"/>
      <c r="E22" s="19" t="s">
        <v>86</v>
      </c>
      <c r="F22" s="105"/>
      <c r="G22" s="105"/>
      <c r="H22" s="105"/>
      <c r="I22" s="105"/>
      <c r="J22" s="110"/>
      <c r="K22" s="18" t="s">
        <v>37</v>
      </c>
      <c r="L22" s="105"/>
      <c r="M22" s="19">
        <v>3931</v>
      </c>
      <c r="N22" s="105"/>
      <c r="O22" s="105"/>
      <c r="P22" s="105"/>
      <c r="Q22" s="105"/>
      <c r="R22" s="110"/>
      <c r="T22" s="117"/>
      <c r="U22" s="102"/>
      <c r="V22" s="105"/>
      <c r="W22" s="18" t="s">
        <v>37</v>
      </c>
      <c r="X22" s="105"/>
      <c r="Y22" s="19"/>
      <c r="Z22" s="105"/>
      <c r="AA22" s="105"/>
      <c r="AB22" s="105"/>
      <c r="AC22" s="105"/>
      <c r="AD22" s="110"/>
      <c r="AE22" s="18" t="s">
        <v>37</v>
      </c>
      <c r="AF22" s="105"/>
      <c r="AG22" s="19"/>
      <c r="AH22" s="105"/>
      <c r="AI22" s="105"/>
      <c r="AJ22" s="105"/>
      <c r="AK22" s="105"/>
      <c r="AL22" s="110"/>
      <c r="AN22" s="102"/>
      <c r="AO22" s="105"/>
      <c r="AP22" s="18" t="s">
        <v>37</v>
      </c>
      <c r="AQ22" s="105"/>
      <c r="AR22" s="19"/>
      <c r="AS22" s="105"/>
      <c r="AT22" s="105"/>
      <c r="AU22" s="105"/>
      <c r="AV22" s="105"/>
      <c r="AW22" s="110"/>
      <c r="AX22" s="18" t="s">
        <v>37</v>
      </c>
      <c r="AY22" s="105"/>
      <c r="AZ22" s="19"/>
      <c r="BA22" s="105"/>
      <c r="BB22" s="105"/>
      <c r="BC22" s="105"/>
      <c r="BD22" s="105"/>
      <c r="BE22" s="110"/>
      <c r="BG22" s="102"/>
      <c r="BH22" s="105"/>
      <c r="BI22" s="18" t="s">
        <v>37</v>
      </c>
      <c r="BJ22" s="105"/>
      <c r="BK22" s="19"/>
      <c r="BL22" s="105"/>
      <c r="BM22" s="105"/>
      <c r="BN22" s="105"/>
      <c r="BO22" s="105"/>
      <c r="BP22" s="110"/>
      <c r="BQ22" s="18" t="s">
        <v>37</v>
      </c>
      <c r="BR22" s="105"/>
      <c r="BS22" s="19"/>
      <c r="BT22" s="105"/>
      <c r="BU22" s="105"/>
      <c r="BV22" s="105"/>
      <c r="BW22" s="105"/>
      <c r="BX22" s="110"/>
      <c r="BZ22" s="102"/>
      <c r="CA22" s="105"/>
      <c r="CB22" s="18" t="s">
        <v>37</v>
      </c>
      <c r="CC22" s="105"/>
      <c r="CD22" s="19"/>
      <c r="CE22" s="105"/>
      <c r="CF22" s="105"/>
      <c r="CG22" s="105"/>
      <c r="CH22" s="105"/>
      <c r="CI22" s="110"/>
      <c r="CJ22" s="18" t="s">
        <v>37</v>
      </c>
      <c r="CK22" s="105"/>
      <c r="CL22" s="19"/>
      <c r="CM22" s="105"/>
      <c r="CN22" s="105"/>
      <c r="CO22" s="105"/>
      <c r="CP22" s="105"/>
      <c r="CQ22" s="110"/>
      <c r="CS22" s="102"/>
      <c r="CT22" s="105"/>
      <c r="CU22" s="18" t="s">
        <v>37</v>
      </c>
      <c r="CV22" s="105"/>
      <c r="CW22" s="19"/>
      <c r="CX22" s="105"/>
      <c r="CY22" s="105"/>
      <c r="CZ22" s="105"/>
      <c r="DA22" s="105"/>
      <c r="DB22" s="110"/>
      <c r="DC22" s="18" t="s">
        <v>37</v>
      </c>
      <c r="DD22" s="105"/>
      <c r="DE22" s="19"/>
      <c r="DF22" s="105"/>
      <c r="DG22" s="105"/>
      <c r="DH22" s="105"/>
      <c r="DI22" s="105"/>
      <c r="DJ22" s="110"/>
    </row>
    <row r="23" spans="1:114" ht="14.25" customHeight="1" x14ac:dyDescent="0.3">
      <c r="A23" s="102"/>
      <c r="B23" s="105"/>
      <c r="C23" s="18" t="s">
        <v>38</v>
      </c>
      <c r="D23" s="105"/>
      <c r="E23" s="19">
        <v>3936</v>
      </c>
      <c r="F23" s="105"/>
      <c r="G23" s="105"/>
      <c r="H23" s="105"/>
      <c r="I23" s="105"/>
      <c r="J23" s="110"/>
      <c r="K23" s="18" t="s">
        <v>38</v>
      </c>
      <c r="L23" s="105"/>
      <c r="M23" s="19">
        <v>3931</v>
      </c>
      <c r="N23" s="105"/>
      <c r="O23" s="105"/>
      <c r="P23" s="105"/>
      <c r="Q23" s="105"/>
      <c r="R23" s="110"/>
      <c r="T23" s="117"/>
      <c r="U23" s="102"/>
      <c r="V23" s="105"/>
      <c r="W23" s="18" t="s">
        <v>38</v>
      </c>
      <c r="X23" s="105"/>
      <c r="Y23" s="19"/>
      <c r="Z23" s="105"/>
      <c r="AA23" s="105"/>
      <c r="AB23" s="105"/>
      <c r="AC23" s="105"/>
      <c r="AD23" s="110"/>
      <c r="AE23" s="18" t="s">
        <v>38</v>
      </c>
      <c r="AF23" s="105"/>
      <c r="AG23" s="19"/>
      <c r="AH23" s="105"/>
      <c r="AI23" s="105"/>
      <c r="AJ23" s="105"/>
      <c r="AK23" s="105"/>
      <c r="AL23" s="110"/>
      <c r="AN23" s="102"/>
      <c r="AO23" s="105"/>
      <c r="AP23" s="18" t="s">
        <v>38</v>
      </c>
      <c r="AQ23" s="105"/>
      <c r="AR23" s="19"/>
      <c r="AS23" s="105"/>
      <c r="AT23" s="105"/>
      <c r="AU23" s="105"/>
      <c r="AV23" s="105"/>
      <c r="AW23" s="110"/>
      <c r="AX23" s="18" t="s">
        <v>38</v>
      </c>
      <c r="AY23" s="105"/>
      <c r="AZ23" s="19"/>
      <c r="BA23" s="105"/>
      <c r="BB23" s="105"/>
      <c r="BC23" s="105"/>
      <c r="BD23" s="105"/>
      <c r="BE23" s="110"/>
      <c r="BG23" s="102"/>
      <c r="BH23" s="105"/>
      <c r="BI23" s="18" t="s">
        <v>38</v>
      </c>
      <c r="BJ23" s="105"/>
      <c r="BK23" s="19"/>
      <c r="BL23" s="105"/>
      <c r="BM23" s="105"/>
      <c r="BN23" s="105"/>
      <c r="BO23" s="105"/>
      <c r="BP23" s="110"/>
      <c r="BQ23" s="18" t="s">
        <v>38</v>
      </c>
      <c r="BR23" s="105"/>
      <c r="BS23" s="19"/>
      <c r="BT23" s="105"/>
      <c r="BU23" s="105"/>
      <c r="BV23" s="105"/>
      <c r="BW23" s="105"/>
      <c r="BX23" s="110"/>
      <c r="BZ23" s="102"/>
      <c r="CA23" s="105"/>
      <c r="CB23" s="18" t="s">
        <v>38</v>
      </c>
      <c r="CC23" s="105"/>
      <c r="CD23" s="19"/>
      <c r="CE23" s="105"/>
      <c r="CF23" s="105"/>
      <c r="CG23" s="105"/>
      <c r="CH23" s="105"/>
      <c r="CI23" s="110"/>
      <c r="CJ23" s="18" t="s">
        <v>38</v>
      </c>
      <c r="CK23" s="105"/>
      <c r="CL23" s="19"/>
      <c r="CM23" s="105"/>
      <c r="CN23" s="105"/>
      <c r="CO23" s="105"/>
      <c r="CP23" s="105"/>
      <c r="CQ23" s="110"/>
      <c r="CS23" s="102"/>
      <c r="CT23" s="105"/>
      <c r="CU23" s="18" t="s">
        <v>38</v>
      </c>
      <c r="CV23" s="105"/>
      <c r="CW23" s="19"/>
      <c r="CX23" s="105"/>
      <c r="CY23" s="105"/>
      <c r="CZ23" s="105"/>
      <c r="DA23" s="105"/>
      <c r="DB23" s="110"/>
      <c r="DC23" s="18" t="s">
        <v>38</v>
      </c>
      <c r="DD23" s="105"/>
      <c r="DE23" s="19"/>
      <c r="DF23" s="105"/>
      <c r="DG23" s="105"/>
      <c r="DH23" s="105"/>
      <c r="DI23" s="105"/>
      <c r="DJ23" s="110"/>
    </row>
    <row r="24" spans="1:114" ht="14.25" customHeight="1" x14ac:dyDescent="0.3">
      <c r="A24" s="102"/>
      <c r="B24" s="105"/>
      <c r="C24" s="18" t="s">
        <v>39</v>
      </c>
      <c r="D24" s="105"/>
      <c r="E24" s="19">
        <v>3942</v>
      </c>
      <c r="F24" s="105"/>
      <c r="G24" s="105"/>
      <c r="H24" s="105"/>
      <c r="I24" s="105"/>
      <c r="J24" s="110"/>
      <c r="K24" s="18" t="s">
        <v>39</v>
      </c>
      <c r="L24" s="105"/>
      <c r="M24" s="19">
        <v>3934</v>
      </c>
      <c r="N24" s="105"/>
      <c r="O24" s="105"/>
      <c r="P24" s="105"/>
      <c r="Q24" s="105"/>
      <c r="R24" s="110"/>
      <c r="T24" s="117"/>
      <c r="U24" s="102"/>
      <c r="V24" s="105"/>
      <c r="W24" s="18" t="s">
        <v>39</v>
      </c>
      <c r="X24" s="105"/>
      <c r="Y24" s="19"/>
      <c r="Z24" s="105"/>
      <c r="AA24" s="105"/>
      <c r="AB24" s="105"/>
      <c r="AC24" s="105"/>
      <c r="AD24" s="110"/>
      <c r="AE24" s="18" t="s">
        <v>39</v>
      </c>
      <c r="AF24" s="105"/>
      <c r="AG24" s="19"/>
      <c r="AH24" s="105"/>
      <c r="AI24" s="105"/>
      <c r="AJ24" s="105"/>
      <c r="AK24" s="105"/>
      <c r="AL24" s="110"/>
      <c r="AN24" s="102"/>
      <c r="AO24" s="105"/>
      <c r="AP24" s="18" t="s">
        <v>39</v>
      </c>
      <c r="AQ24" s="105"/>
      <c r="AR24" s="19"/>
      <c r="AS24" s="105"/>
      <c r="AT24" s="105"/>
      <c r="AU24" s="105"/>
      <c r="AV24" s="105"/>
      <c r="AW24" s="110"/>
      <c r="AX24" s="18" t="s">
        <v>39</v>
      </c>
      <c r="AY24" s="105"/>
      <c r="AZ24" s="19"/>
      <c r="BA24" s="105"/>
      <c r="BB24" s="105"/>
      <c r="BC24" s="105"/>
      <c r="BD24" s="105"/>
      <c r="BE24" s="110"/>
      <c r="BG24" s="102"/>
      <c r="BH24" s="105"/>
      <c r="BI24" s="18" t="s">
        <v>39</v>
      </c>
      <c r="BJ24" s="105"/>
      <c r="BK24" s="19"/>
      <c r="BL24" s="105"/>
      <c r="BM24" s="105"/>
      <c r="BN24" s="105"/>
      <c r="BO24" s="105"/>
      <c r="BP24" s="110"/>
      <c r="BQ24" s="18" t="s">
        <v>39</v>
      </c>
      <c r="BR24" s="105"/>
      <c r="BS24" s="19"/>
      <c r="BT24" s="105"/>
      <c r="BU24" s="105"/>
      <c r="BV24" s="105"/>
      <c r="BW24" s="105"/>
      <c r="BX24" s="110"/>
      <c r="BZ24" s="102"/>
      <c r="CA24" s="105"/>
      <c r="CB24" s="18" t="s">
        <v>39</v>
      </c>
      <c r="CC24" s="105"/>
      <c r="CD24" s="19"/>
      <c r="CE24" s="105"/>
      <c r="CF24" s="105"/>
      <c r="CG24" s="105"/>
      <c r="CH24" s="105"/>
      <c r="CI24" s="110"/>
      <c r="CJ24" s="18" t="s">
        <v>39</v>
      </c>
      <c r="CK24" s="105"/>
      <c r="CL24" s="19"/>
      <c r="CM24" s="105"/>
      <c r="CN24" s="105"/>
      <c r="CO24" s="105"/>
      <c r="CP24" s="105"/>
      <c r="CQ24" s="110"/>
      <c r="CS24" s="102"/>
      <c r="CT24" s="105"/>
      <c r="CU24" s="18" t="s">
        <v>39</v>
      </c>
      <c r="CV24" s="105"/>
      <c r="CW24" s="19"/>
      <c r="CX24" s="105"/>
      <c r="CY24" s="105"/>
      <c r="CZ24" s="105"/>
      <c r="DA24" s="105"/>
      <c r="DB24" s="110"/>
      <c r="DC24" s="18" t="s">
        <v>39</v>
      </c>
      <c r="DD24" s="105"/>
      <c r="DE24" s="19"/>
      <c r="DF24" s="105"/>
      <c r="DG24" s="105"/>
      <c r="DH24" s="105"/>
      <c r="DI24" s="105"/>
      <c r="DJ24" s="110"/>
    </row>
    <row r="25" spans="1:114" ht="14.25" customHeight="1" x14ac:dyDescent="0.3">
      <c r="A25" s="102"/>
      <c r="B25" s="105"/>
      <c r="C25" s="18" t="s">
        <v>40</v>
      </c>
      <c r="D25" s="105"/>
      <c r="E25" s="19">
        <v>3941</v>
      </c>
      <c r="F25" s="105"/>
      <c r="G25" s="105"/>
      <c r="H25" s="105"/>
      <c r="I25" s="105"/>
      <c r="J25" s="110"/>
      <c r="K25" s="18" t="s">
        <v>40</v>
      </c>
      <c r="L25" s="105"/>
      <c r="M25" s="19">
        <v>3935</v>
      </c>
      <c r="N25" s="105"/>
      <c r="O25" s="105"/>
      <c r="P25" s="105"/>
      <c r="Q25" s="105"/>
      <c r="R25" s="110"/>
      <c r="T25" s="117"/>
      <c r="U25" s="102"/>
      <c r="V25" s="105"/>
      <c r="W25" s="18" t="s">
        <v>40</v>
      </c>
      <c r="X25" s="105"/>
      <c r="Y25" s="19"/>
      <c r="Z25" s="105"/>
      <c r="AA25" s="105"/>
      <c r="AB25" s="105"/>
      <c r="AC25" s="105"/>
      <c r="AD25" s="110"/>
      <c r="AE25" s="18" t="s">
        <v>40</v>
      </c>
      <c r="AF25" s="105"/>
      <c r="AG25" s="19"/>
      <c r="AH25" s="105"/>
      <c r="AI25" s="105"/>
      <c r="AJ25" s="105"/>
      <c r="AK25" s="105"/>
      <c r="AL25" s="110"/>
      <c r="AN25" s="102"/>
      <c r="AO25" s="105"/>
      <c r="AP25" s="18" t="s">
        <v>40</v>
      </c>
      <c r="AQ25" s="105"/>
      <c r="AR25" s="19"/>
      <c r="AS25" s="105"/>
      <c r="AT25" s="105"/>
      <c r="AU25" s="105"/>
      <c r="AV25" s="105"/>
      <c r="AW25" s="110"/>
      <c r="AX25" s="18" t="s">
        <v>40</v>
      </c>
      <c r="AY25" s="105"/>
      <c r="AZ25" s="19"/>
      <c r="BA25" s="105"/>
      <c r="BB25" s="105"/>
      <c r="BC25" s="105"/>
      <c r="BD25" s="105"/>
      <c r="BE25" s="110"/>
      <c r="BG25" s="102"/>
      <c r="BH25" s="105"/>
      <c r="BI25" s="18" t="s">
        <v>40</v>
      </c>
      <c r="BJ25" s="105"/>
      <c r="BK25" s="19"/>
      <c r="BL25" s="105"/>
      <c r="BM25" s="105"/>
      <c r="BN25" s="105"/>
      <c r="BO25" s="105"/>
      <c r="BP25" s="110"/>
      <c r="BQ25" s="18" t="s">
        <v>40</v>
      </c>
      <c r="BR25" s="105"/>
      <c r="BS25" s="19"/>
      <c r="BT25" s="105"/>
      <c r="BU25" s="105"/>
      <c r="BV25" s="105"/>
      <c r="BW25" s="105"/>
      <c r="BX25" s="110"/>
      <c r="BZ25" s="102"/>
      <c r="CA25" s="105"/>
      <c r="CB25" s="18" t="s">
        <v>40</v>
      </c>
      <c r="CC25" s="105"/>
      <c r="CD25" s="19"/>
      <c r="CE25" s="105"/>
      <c r="CF25" s="105"/>
      <c r="CG25" s="105"/>
      <c r="CH25" s="105"/>
      <c r="CI25" s="110"/>
      <c r="CJ25" s="18" t="s">
        <v>40</v>
      </c>
      <c r="CK25" s="105"/>
      <c r="CL25" s="19"/>
      <c r="CM25" s="105"/>
      <c r="CN25" s="105"/>
      <c r="CO25" s="105"/>
      <c r="CP25" s="105"/>
      <c r="CQ25" s="110"/>
      <c r="CS25" s="102"/>
      <c r="CT25" s="105"/>
      <c r="CU25" s="18" t="s">
        <v>40</v>
      </c>
      <c r="CV25" s="105"/>
      <c r="CW25" s="19"/>
      <c r="CX25" s="105"/>
      <c r="CY25" s="105"/>
      <c r="CZ25" s="105"/>
      <c r="DA25" s="105"/>
      <c r="DB25" s="110"/>
      <c r="DC25" s="18" t="s">
        <v>40</v>
      </c>
      <c r="DD25" s="105"/>
      <c r="DE25" s="19"/>
      <c r="DF25" s="105"/>
      <c r="DG25" s="105"/>
      <c r="DH25" s="105"/>
      <c r="DI25" s="105"/>
      <c r="DJ25" s="110"/>
    </row>
    <row r="26" spans="1:114" ht="14.25" customHeight="1" x14ac:dyDescent="0.3">
      <c r="A26" s="102"/>
      <c r="B26" s="105"/>
      <c r="C26" s="18" t="s">
        <v>41</v>
      </c>
      <c r="D26" s="105"/>
      <c r="E26" s="19">
        <v>3941</v>
      </c>
      <c r="F26" s="105"/>
      <c r="G26" s="105"/>
      <c r="H26" s="105"/>
      <c r="I26" s="105"/>
      <c r="J26" s="110"/>
      <c r="K26" s="18" t="s">
        <v>41</v>
      </c>
      <c r="L26" s="105"/>
      <c r="M26" s="19">
        <v>3935</v>
      </c>
      <c r="N26" s="105"/>
      <c r="O26" s="105"/>
      <c r="P26" s="105"/>
      <c r="Q26" s="105"/>
      <c r="R26" s="110"/>
      <c r="T26" s="117"/>
      <c r="U26" s="102"/>
      <c r="V26" s="105"/>
      <c r="W26" s="18" t="s">
        <v>41</v>
      </c>
      <c r="X26" s="105"/>
      <c r="Y26" s="19"/>
      <c r="Z26" s="105"/>
      <c r="AA26" s="105"/>
      <c r="AB26" s="105"/>
      <c r="AC26" s="105"/>
      <c r="AD26" s="110"/>
      <c r="AE26" s="18" t="s">
        <v>41</v>
      </c>
      <c r="AF26" s="105"/>
      <c r="AG26" s="19"/>
      <c r="AH26" s="105"/>
      <c r="AI26" s="105"/>
      <c r="AJ26" s="105"/>
      <c r="AK26" s="105"/>
      <c r="AL26" s="110"/>
      <c r="AN26" s="102"/>
      <c r="AO26" s="105"/>
      <c r="AP26" s="18" t="s">
        <v>41</v>
      </c>
      <c r="AQ26" s="105"/>
      <c r="AR26" s="19"/>
      <c r="AS26" s="105"/>
      <c r="AT26" s="105"/>
      <c r="AU26" s="105"/>
      <c r="AV26" s="105"/>
      <c r="AW26" s="110"/>
      <c r="AX26" s="18" t="s">
        <v>41</v>
      </c>
      <c r="AY26" s="105"/>
      <c r="AZ26" s="19"/>
      <c r="BA26" s="105"/>
      <c r="BB26" s="105"/>
      <c r="BC26" s="105"/>
      <c r="BD26" s="105"/>
      <c r="BE26" s="110"/>
      <c r="BG26" s="102"/>
      <c r="BH26" s="105"/>
      <c r="BI26" s="18" t="s">
        <v>41</v>
      </c>
      <c r="BJ26" s="105"/>
      <c r="BK26" s="19"/>
      <c r="BL26" s="105"/>
      <c r="BM26" s="105"/>
      <c r="BN26" s="105"/>
      <c r="BO26" s="105"/>
      <c r="BP26" s="110"/>
      <c r="BQ26" s="18" t="s">
        <v>41</v>
      </c>
      <c r="BR26" s="105"/>
      <c r="BS26" s="19"/>
      <c r="BT26" s="105"/>
      <c r="BU26" s="105"/>
      <c r="BV26" s="105"/>
      <c r="BW26" s="105"/>
      <c r="BX26" s="110"/>
      <c r="BZ26" s="102"/>
      <c r="CA26" s="105"/>
      <c r="CB26" s="18" t="s">
        <v>41</v>
      </c>
      <c r="CC26" s="105"/>
      <c r="CD26" s="19"/>
      <c r="CE26" s="105"/>
      <c r="CF26" s="105"/>
      <c r="CG26" s="105"/>
      <c r="CH26" s="105"/>
      <c r="CI26" s="110"/>
      <c r="CJ26" s="18" t="s">
        <v>41</v>
      </c>
      <c r="CK26" s="105"/>
      <c r="CL26" s="19"/>
      <c r="CM26" s="105"/>
      <c r="CN26" s="105"/>
      <c r="CO26" s="105"/>
      <c r="CP26" s="105"/>
      <c r="CQ26" s="110"/>
      <c r="CS26" s="102"/>
      <c r="CT26" s="105"/>
      <c r="CU26" s="18" t="s">
        <v>41</v>
      </c>
      <c r="CV26" s="105"/>
      <c r="CW26" s="19"/>
      <c r="CX26" s="105"/>
      <c r="CY26" s="105"/>
      <c r="CZ26" s="105"/>
      <c r="DA26" s="105"/>
      <c r="DB26" s="110"/>
      <c r="DC26" s="18" t="s">
        <v>41</v>
      </c>
      <c r="DD26" s="105"/>
      <c r="DE26" s="19"/>
      <c r="DF26" s="105"/>
      <c r="DG26" s="105"/>
      <c r="DH26" s="105"/>
      <c r="DI26" s="105"/>
      <c r="DJ26" s="110"/>
    </row>
    <row r="27" spans="1:114" ht="14.25" customHeight="1" x14ac:dyDescent="0.3">
      <c r="A27" s="102"/>
      <c r="B27" s="105"/>
      <c r="C27" s="18" t="s">
        <v>42</v>
      </c>
      <c r="D27" s="105"/>
      <c r="E27" s="19">
        <v>3935</v>
      </c>
      <c r="F27" s="105"/>
      <c r="G27" s="105"/>
      <c r="H27" s="105"/>
      <c r="I27" s="105"/>
      <c r="J27" s="110"/>
      <c r="K27" s="18" t="s">
        <v>42</v>
      </c>
      <c r="L27" s="105"/>
      <c r="M27" s="19">
        <v>3930</v>
      </c>
      <c r="N27" s="105"/>
      <c r="O27" s="105"/>
      <c r="P27" s="105"/>
      <c r="Q27" s="105"/>
      <c r="R27" s="110"/>
      <c r="T27" s="117"/>
      <c r="U27" s="102"/>
      <c r="V27" s="105"/>
      <c r="W27" s="18" t="s">
        <v>42</v>
      </c>
      <c r="X27" s="105"/>
      <c r="Y27" s="19"/>
      <c r="Z27" s="105"/>
      <c r="AA27" s="105"/>
      <c r="AB27" s="105"/>
      <c r="AC27" s="105"/>
      <c r="AD27" s="110"/>
      <c r="AE27" s="18" t="s">
        <v>42</v>
      </c>
      <c r="AF27" s="105"/>
      <c r="AG27" s="19"/>
      <c r="AH27" s="105"/>
      <c r="AI27" s="105"/>
      <c r="AJ27" s="105"/>
      <c r="AK27" s="105"/>
      <c r="AL27" s="110"/>
      <c r="AN27" s="102"/>
      <c r="AO27" s="105"/>
      <c r="AP27" s="18" t="s">
        <v>42</v>
      </c>
      <c r="AQ27" s="105"/>
      <c r="AR27" s="19"/>
      <c r="AS27" s="105"/>
      <c r="AT27" s="105"/>
      <c r="AU27" s="105"/>
      <c r="AV27" s="105"/>
      <c r="AW27" s="110"/>
      <c r="AX27" s="18" t="s">
        <v>42</v>
      </c>
      <c r="AY27" s="105"/>
      <c r="AZ27" s="19"/>
      <c r="BA27" s="105"/>
      <c r="BB27" s="105"/>
      <c r="BC27" s="105"/>
      <c r="BD27" s="105"/>
      <c r="BE27" s="110"/>
      <c r="BG27" s="102"/>
      <c r="BH27" s="105"/>
      <c r="BI27" s="18" t="s">
        <v>42</v>
      </c>
      <c r="BJ27" s="105"/>
      <c r="BK27" s="19"/>
      <c r="BL27" s="105"/>
      <c r="BM27" s="105"/>
      <c r="BN27" s="105"/>
      <c r="BO27" s="105"/>
      <c r="BP27" s="110"/>
      <c r="BQ27" s="18" t="s">
        <v>42</v>
      </c>
      <c r="BR27" s="105"/>
      <c r="BS27" s="19"/>
      <c r="BT27" s="105"/>
      <c r="BU27" s="105"/>
      <c r="BV27" s="105"/>
      <c r="BW27" s="105"/>
      <c r="BX27" s="110"/>
      <c r="BZ27" s="102"/>
      <c r="CA27" s="105"/>
      <c r="CB27" s="18" t="s">
        <v>42</v>
      </c>
      <c r="CC27" s="105"/>
      <c r="CD27" s="19"/>
      <c r="CE27" s="105"/>
      <c r="CF27" s="105"/>
      <c r="CG27" s="105"/>
      <c r="CH27" s="105"/>
      <c r="CI27" s="110"/>
      <c r="CJ27" s="18" t="s">
        <v>42</v>
      </c>
      <c r="CK27" s="105"/>
      <c r="CL27" s="19"/>
      <c r="CM27" s="105"/>
      <c r="CN27" s="105"/>
      <c r="CO27" s="105"/>
      <c r="CP27" s="105"/>
      <c r="CQ27" s="110"/>
      <c r="CS27" s="102"/>
      <c r="CT27" s="105"/>
      <c r="CU27" s="18" t="s">
        <v>42</v>
      </c>
      <c r="CV27" s="105"/>
      <c r="CW27" s="19"/>
      <c r="CX27" s="105"/>
      <c r="CY27" s="105"/>
      <c r="CZ27" s="105"/>
      <c r="DA27" s="105"/>
      <c r="DB27" s="110"/>
      <c r="DC27" s="18" t="s">
        <v>42</v>
      </c>
      <c r="DD27" s="105"/>
      <c r="DE27" s="19"/>
      <c r="DF27" s="105"/>
      <c r="DG27" s="105"/>
      <c r="DH27" s="105"/>
      <c r="DI27" s="105"/>
      <c r="DJ27" s="110"/>
    </row>
    <row r="28" spans="1:114" ht="14.25" customHeight="1" x14ac:dyDescent="0.3">
      <c r="A28" s="102"/>
      <c r="B28" s="105"/>
      <c r="C28" s="18" t="s">
        <v>43</v>
      </c>
      <c r="D28" s="105"/>
      <c r="E28" s="19">
        <v>3927</v>
      </c>
      <c r="F28" s="105"/>
      <c r="G28" s="105"/>
      <c r="H28" s="105"/>
      <c r="I28" s="105"/>
      <c r="J28" s="110"/>
      <c r="K28" s="18" t="s">
        <v>43</v>
      </c>
      <c r="L28" s="105"/>
      <c r="M28" s="19">
        <v>3924</v>
      </c>
      <c r="N28" s="105"/>
      <c r="O28" s="105"/>
      <c r="P28" s="105"/>
      <c r="Q28" s="105"/>
      <c r="R28" s="110"/>
      <c r="T28" s="117"/>
      <c r="U28" s="102"/>
      <c r="V28" s="105"/>
      <c r="W28" s="18" t="s">
        <v>43</v>
      </c>
      <c r="X28" s="105"/>
      <c r="Y28" s="19"/>
      <c r="Z28" s="105"/>
      <c r="AA28" s="105"/>
      <c r="AB28" s="105"/>
      <c r="AC28" s="105"/>
      <c r="AD28" s="110"/>
      <c r="AE28" s="18" t="s">
        <v>43</v>
      </c>
      <c r="AF28" s="105"/>
      <c r="AG28" s="19"/>
      <c r="AH28" s="105"/>
      <c r="AI28" s="105"/>
      <c r="AJ28" s="105"/>
      <c r="AK28" s="105"/>
      <c r="AL28" s="110"/>
      <c r="AN28" s="102"/>
      <c r="AO28" s="105"/>
      <c r="AP28" s="18" t="s">
        <v>43</v>
      </c>
      <c r="AQ28" s="105"/>
      <c r="AR28" s="19"/>
      <c r="AS28" s="105"/>
      <c r="AT28" s="105"/>
      <c r="AU28" s="105"/>
      <c r="AV28" s="105"/>
      <c r="AW28" s="110"/>
      <c r="AX28" s="18" t="s">
        <v>43</v>
      </c>
      <c r="AY28" s="105"/>
      <c r="AZ28" s="19"/>
      <c r="BA28" s="105"/>
      <c r="BB28" s="105"/>
      <c r="BC28" s="105"/>
      <c r="BD28" s="105"/>
      <c r="BE28" s="110"/>
      <c r="BG28" s="102"/>
      <c r="BH28" s="105"/>
      <c r="BI28" s="18" t="s">
        <v>43</v>
      </c>
      <c r="BJ28" s="105"/>
      <c r="BK28" s="19"/>
      <c r="BL28" s="105"/>
      <c r="BM28" s="105"/>
      <c r="BN28" s="105"/>
      <c r="BO28" s="105"/>
      <c r="BP28" s="110"/>
      <c r="BQ28" s="18" t="s">
        <v>43</v>
      </c>
      <c r="BR28" s="105"/>
      <c r="BS28" s="19"/>
      <c r="BT28" s="105"/>
      <c r="BU28" s="105"/>
      <c r="BV28" s="105"/>
      <c r="BW28" s="105"/>
      <c r="BX28" s="110"/>
      <c r="BZ28" s="102"/>
      <c r="CA28" s="105"/>
      <c r="CB28" s="18" t="s">
        <v>43</v>
      </c>
      <c r="CC28" s="105"/>
      <c r="CD28" s="19"/>
      <c r="CE28" s="105"/>
      <c r="CF28" s="105"/>
      <c r="CG28" s="105"/>
      <c r="CH28" s="105"/>
      <c r="CI28" s="110"/>
      <c r="CJ28" s="18" t="s">
        <v>43</v>
      </c>
      <c r="CK28" s="105"/>
      <c r="CL28" s="19"/>
      <c r="CM28" s="105"/>
      <c r="CN28" s="105"/>
      <c r="CO28" s="105"/>
      <c r="CP28" s="105"/>
      <c r="CQ28" s="110"/>
      <c r="CS28" s="102"/>
      <c r="CT28" s="105"/>
      <c r="CU28" s="18" t="s">
        <v>43</v>
      </c>
      <c r="CV28" s="105"/>
      <c r="CW28" s="19"/>
      <c r="CX28" s="105"/>
      <c r="CY28" s="105"/>
      <c r="CZ28" s="105"/>
      <c r="DA28" s="105"/>
      <c r="DB28" s="110"/>
      <c r="DC28" s="18" t="s">
        <v>43</v>
      </c>
      <c r="DD28" s="105"/>
      <c r="DE28" s="19"/>
      <c r="DF28" s="105"/>
      <c r="DG28" s="105"/>
      <c r="DH28" s="105"/>
      <c r="DI28" s="105"/>
      <c r="DJ28" s="110"/>
    </row>
    <row r="29" spans="1:114" ht="14.25" customHeight="1" x14ac:dyDescent="0.3">
      <c r="A29" s="102"/>
      <c r="B29" s="105"/>
      <c r="C29" s="18" t="s">
        <v>44</v>
      </c>
      <c r="D29" s="105"/>
      <c r="E29" s="19">
        <v>3942</v>
      </c>
      <c r="F29" s="105"/>
      <c r="G29" s="105"/>
      <c r="H29" s="105"/>
      <c r="I29" s="105"/>
      <c r="J29" s="110"/>
      <c r="K29" s="18" t="s">
        <v>44</v>
      </c>
      <c r="L29" s="105"/>
      <c r="M29" s="19">
        <v>3930</v>
      </c>
      <c r="N29" s="105"/>
      <c r="O29" s="105"/>
      <c r="P29" s="105"/>
      <c r="Q29" s="105"/>
      <c r="R29" s="110"/>
      <c r="T29" s="117"/>
      <c r="U29" s="102"/>
      <c r="V29" s="105"/>
      <c r="W29" s="18" t="s">
        <v>44</v>
      </c>
      <c r="X29" s="105"/>
      <c r="Y29" s="19"/>
      <c r="Z29" s="105"/>
      <c r="AA29" s="105"/>
      <c r="AB29" s="105"/>
      <c r="AC29" s="105"/>
      <c r="AD29" s="110"/>
      <c r="AE29" s="18" t="s">
        <v>44</v>
      </c>
      <c r="AF29" s="105"/>
      <c r="AG29" s="19"/>
      <c r="AH29" s="105"/>
      <c r="AI29" s="105"/>
      <c r="AJ29" s="105"/>
      <c r="AK29" s="105"/>
      <c r="AL29" s="110"/>
      <c r="AN29" s="102"/>
      <c r="AO29" s="105"/>
      <c r="AP29" s="18" t="s">
        <v>44</v>
      </c>
      <c r="AQ29" s="105"/>
      <c r="AR29" s="19"/>
      <c r="AS29" s="105"/>
      <c r="AT29" s="105"/>
      <c r="AU29" s="105"/>
      <c r="AV29" s="105"/>
      <c r="AW29" s="110"/>
      <c r="AX29" s="18" t="s">
        <v>44</v>
      </c>
      <c r="AY29" s="105"/>
      <c r="AZ29" s="19"/>
      <c r="BA29" s="105"/>
      <c r="BB29" s="105"/>
      <c r="BC29" s="105"/>
      <c r="BD29" s="105"/>
      <c r="BE29" s="110"/>
      <c r="BG29" s="102"/>
      <c r="BH29" s="105"/>
      <c r="BI29" s="18" t="s">
        <v>44</v>
      </c>
      <c r="BJ29" s="105"/>
      <c r="BK29" s="19"/>
      <c r="BL29" s="105"/>
      <c r="BM29" s="105"/>
      <c r="BN29" s="105"/>
      <c r="BO29" s="105"/>
      <c r="BP29" s="110"/>
      <c r="BQ29" s="18" t="s">
        <v>44</v>
      </c>
      <c r="BR29" s="105"/>
      <c r="BS29" s="19"/>
      <c r="BT29" s="105"/>
      <c r="BU29" s="105"/>
      <c r="BV29" s="105"/>
      <c r="BW29" s="105"/>
      <c r="BX29" s="110"/>
      <c r="BZ29" s="102"/>
      <c r="CA29" s="105"/>
      <c r="CB29" s="18" t="s">
        <v>44</v>
      </c>
      <c r="CC29" s="105"/>
      <c r="CD29" s="19"/>
      <c r="CE29" s="105"/>
      <c r="CF29" s="105"/>
      <c r="CG29" s="105"/>
      <c r="CH29" s="105"/>
      <c r="CI29" s="110"/>
      <c r="CJ29" s="18" t="s">
        <v>44</v>
      </c>
      <c r="CK29" s="105"/>
      <c r="CL29" s="19"/>
      <c r="CM29" s="105"/>
      <c r="CN29" s="105"/>
      <c r="CO29" s="105"/>
      <c r="CP29" s="105"/>
      <c r="CQ29" s="110"/>
      <c r="CS29" s="102"/>
      <c r="CT29" s="105"/>
      <c r="CU29" s="18" t="s">
        <v>44</v>
      </c>
      <c r="CV29" s="105"/>
      <c r="CW29" s="19"/>
      <c r="CX29" s="105"/>
      <c r="CY29" s="105"/>
      <c r="CZ29" s="105"/>
      <c r="DA29" s="105"/>
      <c r="DB29" s="110"/>
      <c r="DC29" s="18" t="s">
        <v>44</v>
      </c>
      <c r="DD29" s="105"/>
      <c r="DE29" s="19"/>
      <c r="DF29" s="105"/>
      <c r="DG29" s="105"/>
      <c r="DH29" s="105"/>
      <c r="DI29" s="105"/>
      <c r="DJ29" s="110"/>
    </row>
    <row r="30" spans="1:114" ht="14.25" customHeight="1" x14ac:dyDescent="0.3">
      <c r="A30" s="102"/>
      <c r="B30" s="105"/>
      <c r="C30" s="18" t="s">
        <v>45</v>
      </c>
      <c r="D30" s="105"/>
      <c r="E30" s="19">
        <v>3941</v>
      </c>
      <c r="F30" s="105"/>
      <c r="G30" s="105"/>
      <c r="H30" s="105"/>
      <c r="I30" s="105"/>
      <c r="J30" s="110"/>
      <c r="K30" s="18" t="s">
        <v>45</v>
      </c>
      <c r="L30" s="105"/>
      <c r="M30" s="19">
        <v>3931</v>
      </c>
      <c r="N30" s="105"/>
      <c r="O30" s="105"/>
      <c r="P30" s="105"/>
      <c r="Q30" s="105"/>
      <c r="R30" s="110"/>
      <c r="T30" s="117"/>
      <c r="U30" s="102"/>
      <c r="V30" s="105"/>
      <c r="W30" s="18" t="s">
        <v>45</v>
      </c>
      <c r="X30" s="105"/>
      <c r="Y30" s="19"/>
      <c r="Z30" s="105"/>
      <c r="AA30" s="105"/>
      <c r="AB30" s="105"/>
      <c r="AC30" s="105"/>
      <c r="AD30" s="110"/>
      <c r="AE30" s="18" t="s">
        <v>45</v>
      </c>
      <c r="AF30" s="105"/>
      <c r="AG30" s="19"/>
      <c r="AH30" s="105"/>
      <c r="AI30" s="105"/>
      <c r="AJ30" s="105"/>
      <c r="AK30" s="105"/>
      <c r="AL30" s="110"/>
      <c r="AN30" s="102"/>
      <c r="AO30" s="105"/>
      <c r="AP30" s="18" t="s">
        <v>45</v>
      </c>
      <c r="AQ30" s="105"/>
      <c r="AR30" s="19"/>
      <c r="AS30" s="105"/>
      <c r="AT30" s="105"/>
      <c r="AU30" s="105"/>
      <c r="AV30" s="105"/>
      <c r="AW30" s="110"/>
      <c r="AX30" s="18" t="s">
        <v>45</v>
      </c>
      <c r="AY30" s="105"/>
      <c r="AZ30" s="19"/>
      <c r="BA30" s="105"/>
      <c r="BB30" s="105"/>
      <c r="BC30" s="105"/>
      <c r="BD30" s="105"/>
      <c r="BE30" s="110"/>
      <c r="BG30" s="102"/>
      <c r="BH30" s="105"/>
      <c r="BI30" s="18" t="s">
        <v>45</v>
      </c>
      <c r="BJ30" s="105"/>
      <c r="BK30" s="19"/>
      <c r="BL30" s="105"/>
      <c r="BM30" s="105"/>
      <c r="BN30" s="105"/>
      <c r="BO30" s="105"/>
      <c r="BP30" s="110"/>
      <c r="BQ30" s="18" t="s">
        <v>45</v>
      </c>
      <c r="BR30" s="105"/>
      <c r="BS30" s="19"/>
      <c r="BT30" s="105"/>
      <c r="BU30" s="105"/>
      <c r="BV30" s="105"/>
      <c r="BW30" s="105"/>
      <c r="BX30" s="110"/>
      <c r="BZ30" s="102"/>
      <c r="CA30" s="105"/>
      <c r="CB30" s="18" t="s">
        <v>45</v>
      </c>
      <c r="CC30" s="105"/>
      <c r="CD30" s="19"/>
      <c r="CE30" s="105"/>
      <c r="CF30" s="105"/>
      <c r="CG30" s="105"/>
      <c r="CH30" s="105"/>
      <c r="CI30" s="110"/>
      <c r="CJ30" s="18" t="s">
        <v>45</v>
      </c>
      <c r="CK30" s="105"/>
      <c r="CL30" s="19"/>
      <c r="CM30" s="105"/>
      <c r="CN30" s="105"/>
      <c r="CO30" s="105"/>
      <c r="CP30" s="105"/>
      <c r="CQ30" s="110"/>
      <c r="CS30" s="102"/>
      <c r="CT30" s="105"/>
      <c r="CU30" s="18" t="s">
        <v>45</v>
      </c>
      <c r="CV30" s="105"/>
      <c r="CW30" s="19"/>
      <c r="CX30" s="105"/>
      <c r="CY30" s="105"/>
      <c r="CZ30" s="105"/>
      <c r="DA30" s="105"/>
      <c r="DB30" s="110"/>
      <c r="DC30" s="18" t="s">
        <v>45</v>
      </c>
      <c r="DD30" s="105"/>
      <c r="DE30" s="19"/>
      <c r="DF30" s="105"/>
      <c r="DG30" s="105"/>
      <c r="DH30" s="105"/>
      <c r="DI30" s="105"/>
      <c r="DJ30" s="110"/>
    </row>
    <row r="31" spans="1:114" ht="14.25" customHeight="1" x14ac:dyDescent="0.3">
      <c r="A31" s="102"/>
      <c r="B31" s="105"/>
      <c r="C31" s="18" t="s">
        <v>46</v>
      </c>
      <c r="D31" s="105"/>
      <c r="E31" s="19">
        <v>3938</v>
      </c>
      <c r="F31" s="105"/>
      <c r="G31" s="105"/>
      <c r="H31" s="105"/>
      <c r="I31" s="105"/>
      <c r="J31" s="110"/>
      <c r="K31" s="18" t="s">
        <v>46</v>
      </c>
      <c r="L31" s="105"/>
      <c r="M31" s="19">
        <v>3932</v>
      </c>
      <c r="N31" s="105"/>
      <c r="O31" s="105"/>
      <c r="P31" s="105"/>
      <c r="Q31" s="105"/>
      <c r="R31" s="110"/>
      <c r="T31" s="117"/>
      <c r="U31" s="102"/>
      <c r="V31" s="105"/>
      <c r="W31" s="18" t="s">
        <v>46</v>
      </c>
      <c r="X31" s="105"/>
      <c r="Y31" s="19"/>
      <c r="Z31" s="105"/>
      <c r="AA31" s="105"/>
      <c r="AB31" s="105"/>
      <c r="AC31" s="105"/>
      <c r="AD31" s="110"/>
      <c r="AE31" s="18" t="s">
        <v>46</v>
      </c>
      <c r="AF31" s="105"/>
      <c r="AG31" s="19"/>
      <c r="AH31" s="105"/>
      <c r="AI31" s="105"/>
      <c r="AJ31" s="105"/>
      <c r="AK31" s="105"/>
      <c r="AL31" s="110"/>
      <c r="AN31" s="102"/>
      <c r="AO31" s="105"/>
      <c r="AP31" s="18" t="s">
        <v>46</v>
      </c>
      <c r="AQ31" s="105"/>
      <c r="AR31" s="19"/>
      <c r="AS31" s="105"/>
      <c r="AT31" s="105"/>
      <c r="AU31" s="105"/>
      <c r="AV31" s="105"/>
      <c r="AW31" s="110"/>
      <c r="AX31" s="18" t="s">
        <v>46</v>
      </c>
      <c r="AY31" s="105"/>
      <c r="AZ31" s="19"/>
      <c r="BA31" s="105"/>
      <c r="BB31" s="105"/>
      <c r="BC31" s="105"/>
      <c r="BD31" s="105"/>
      <c r="BE31" s="110"/>
      <c r="BG31" s="102"/>
      <c r="BH31" s="105"/>
      <c r="BI31" s="18" t="s">
        <v>46</v>
      </c>
      <c r="BJ31" s="105"/>
      <c r="BK31" s="19"/>
      <c r="BL31" s="105"/>
      <c r="BM31" s="105"/>
      <c r="BN31" s="105"/>
      <c r="BO31" s="105"/>
      <c r="BP31" s="110"/>
      <c r="BQ31" s="18" t="s">
        <v>46</v>
      </c>
      <c r="BR31" s="105"/>
      <c r="BS31" s="19"/>
      <c r="BT31" s="105"/>
      <c r="BU31" s="105"/>
      <c r="BV31" s="105"/>
      <c r="BW31" s="105"/>
      <c r="BX31" s="110"/>
      <c r="BZ31" s="102"/>
      <c r="CA31" s="105"/>
      <c r="CB31" s="18" t="s">
        <v>46</v>
      </c>
      <c r="CC31" s="105"/>
      <c r="CD31" s="19"/>
      <c r="CE31" s="105"/>
      <c r="CF31" s="105"/>
      <c r="CG31" s="105"/>
      <c r="CH31" s="105"/>
      <c r="CI31" s="110"/>
      <c r="CJ31" s="18" t="s">
        <v>46</v>
      </c>
      <c r="CK31" s="105"/>
      <c r="CL31" s="19"/>
      <c r="CM31" s="105"/>
      <c r="CN31" s="105"/>
      <c r="CO31" s="105"/>
      <c r="CP31" s="105"/>
      <c r="CQ31" s="110"/>
      <c r="CS31" s="102"/>
      <c r="CT31" s="105"/>
      <c r="CU31" s="18" t="s">
        <v>46</v>
      </c>
      <c r="CV31" s="105"/>
      <c r="CW31" s="19"/>
      <c r="CX31" s="105"/>
      <c r="CY31" s="105"/>
      <c r="CZ31" s="105"/>
      <c r="DA31" s="105"/>
      <c r="DB31" s="110"/>
      <c r="DC31" s="18" t="s">
        <v>46</v>
      </c>
      <c r="DD31" s="105"/>
      <c r="DE31" s="19"/>
      <c r="DF31" s="105"/>
      <c r="DG31" s="105"/>
      <c r="DH31" s="105"/>
      <c r="DI31" s="105"/>
      <c r="DJ31" s="110"/>
    </row>
    <row r="32" spans="1:114" ht="14.25" customHeight="1" x14ac:dyDescent="0.3">
      <c r="A32" s="102"/>
      <c r="B32" s="105"/>
      <c r="C32" s="18" t="s">
        <v>47</v>
      </c>
      <c r="D32" s="105"/>
      <c r="E32" s="19">
        <v>3945</v>
      </c>
      <c r="F32" s="105"/>
      <c r="G32" s="105"/>
      <c r="H32" s="105"/>
      <c r="I32" s="105"/>
      <c r="J32" s="110"/>
      <c r="K32" s="18" t="s">
        <v>47</v>
      </c>
      <c r="L32" s="105"/>
      <c r="M32" s="19">
        <v>3935</v>
      </c>
      <c r="N32" s="105"/>
      <c r="O32" s="105"/>
      <c r="P32" s="105"/>
      <c r="Q32" s="105"/>
      <c r="R32" s="110"/>
      <c r="T32" s="117"/>
      <c r="U32" s="102"/>
      <c r="V32" s="105"/>
      <c r="W32" s="18" t="s">
        <v>47</v>
      </c>
      <c r="X32" s="105"/>
      <c r="Y32" s="19"/>
      <c r="Z32" s="105"/>
      <c r="AA32" s="105"/>
      <c r="AB32" s="105"/>
      <c r="AC32" s="105"/>
      <c r="AD32" s="110"/>
      <c r="AE32" s="18" t="s">
        <v>47</v>
      </c>
      <c r="AF32" s="105"/>
      <c r="AG32" s="19"/>
      <c r="AH32" s="105"/>
      <c r="AI32" s="105"/>
      <c r="AJ32" s="105"/>
      <c r="AK32" s="105"/>
      <c r="AL32" s="110"/>
      <c r="AN32" s="102"/>
      <c r="AO32" s="105"/>
      <c r="AP32" s="18" t="s">
        <v>47</v>
      </c>
      <c r="AQ32" s="105"/>
      <c r="AR32" s="19"/>
      <c r="AS32" s="105"/>
      <c r="AT32" s="105"/>
      <c r="AU32" s="105"/>
      <c r="AV32" s="105"/>
      <c r="AW32" s="110"/>
      <c r="AX32" s="18" t="s">
        <v>47</v>
      </c>
      <c r="AY32" s="105"/>
      <c r="AZ32" s="19"/>
      <c r="BA32" s="105"/>
      <c r="BB32" s="105"/>
      <c r="BC32" s="105"/>
      <c r="BD32" s="105"/>
      <c r="BE32" s="110"/>
      <c r="BG32" s="102"/>
      <c r="BH32" s="105"/>
      <c r="BI32" s="18" t="s">
        <v>47</v>
      </c>
      <c r="BJ32" s="105"/>
      <c r="BK32" s="19"/>
      <c r="BL32" s="105"/>
      <c r="BM32" s="105"/>
      <c r="BN32" s="105"/>
      <c r="BO32" s="105"/>
      <c r="BP32" s="110"/>
      <c r="BQ32" s="18" t="s">
        <v>47</v>
      </c>
      <c r="BR32" s="105"/>
      <c r="BS32" s="19"/>
      <c r="BT32" s="105"/>
      <c r="BU32" s="105"/>
      <c r="BV32" s="105"/>
      <c r="BW32" s="105"/>
      <c r="BX32" s="110"/>
      <c r="BZ32" s="102"/>
      <c r="CA32" s="105"/>
      <c r="CB32" s="18" t="s">
        <v>47</v>
      </c>
      <c r="CC32" s="105"/>
      <c r="CD32" s="19"/>
      <c r="CE32" s="105"/>
      <c r="CF32" s="105"/>
      <c r="CG32" s="105"/>
      <c r="CH32" s="105"/>
      <c r="CI32" s="110"/>
      <c r="CJ32" s="18" t="s">
        <v>47</v>
      </c>
      <c r="CK32" s="105"/>
      <c r="CL32" s="19"/>
      <c r="CM32" s="105"/>
      <c r="CN32" s="105"/>
      <c r="CO32" s="105"/>
      <c r="CP32" s="105"/>
      <c r="CQ32" s="110"/>
      <c r="CS32" s="102"/>
      <c r="CT32" s="105"/>
      <c r="CU32" s="18" t="s">
        <v>47</v>
      </c>
      <c r="CV32" s="105"/>
      <c r="CW32" s="19"/>
      <c r="CX32" s="105"/>
      <c r="CY32" s="105"/>
      <c r="CZ32" s="105"/>
      <c r="DA32" s="105"/>
      <c r="DB32" s="110"/>
      <c r="DC32" s="18" t="s">
        <v>47</v>
      </c>
      <c r="DD32" s="105"/>
      <c r="DE32" s="19"/>
      <c r="DF32" s="105"/>
      <c r="DG32" s="105"/>
      <c r="DH32" s="105"/>
      <c r="DI32" s="105"/>
      <c r="DJ32" s="110"/>
    </row>
    <row r="33" spans="1:114" ht="14.25" customHeight="1" x14ac:dyDescent="0.3">
      <c r="A33" s="103"/>
      <c r="B33" s="106"/>
      <c r="C33" s="21" t="s">
        <v>48</v>
      </c>
      <c r="D33" s="106"/>
      <c r="E33" s="22">
        <v>3945</v>
      </c>
      <c r="F33" s="106"/>
      <c r="G33" s="106"/>
      <c r="H33" s="106"/>
      <c r="I33" s="106"/>
      <c r="J33" s="111"/>
      <c r="K33" s="21" t="s">
        <v>48</v>
      </c>
      <c r="L33" s="106"/>
      <c r="M33" s="22">
        <v>3932</v>
      </c>
      <c r="N33" s="106"/>
      <c r="O33" s="106"/>
      <c r="P33" s="106"/>
      <c r="Q33" s="106"/>
      <c r="R33" s="111"/>
      <c r="T33" s="117"/>
      <c r="U33" s="103"/>
      <c r="V33" s="106"/>
      <c r="W33" s="21" t="s">
        <v>48</v>
      </c>
      <c r="X33" s="106"/>
      <c r="Y33" s="22"/>
      <c r="Z33" s="106"/>
      <c r="AA33" s="106"/>
      <c r="AB33" s="106"/>
      <c r="AC33" s="106"/>
      <c r="AD33" s="111"/>
      <c r="AE33" s="21" t="s">
        <v>48</v>
      </c>
      <c r="AF33" s="106"/>
      <c r="AG33" s="22"/>
      <c r="AH33" s="106"/>
      <c r="AI33" s="106"/>
      <c r="AJ33" s="106"/>
      <c r="AK33" s="106"/>
      <c r="AL33" s="111"/>
      <c r="AN33" s="103"/>
      <c r="AO33" s="106"/>
      <c r="AP33" s="21" t="s">
        <v>48</v>
      </c>
      <c r="AQ33" s="106"/>
      <c r="AR33" s="22"/>
      <c r="AS33" s="106"/>
      <c r="AT33" s="106"/>
      <c r="AU33" s="106"/>
      <c r="AV33" s="106"/>
      <c r="AW33" s="111"/>
      <c r="AX33" s="21" t="s">
        <v>48</v>
      </c>
      <c r="AY33" s="106"/>
      <c r="AZ33" s="22"/>
      <c r="BA33" s="106"/>
      <c r="BB33" s="106"/>
      <c r="BC33" s="106"/>
      <c r="BD33" s="106"/>
      <c r="BE33" s="111"/>
      <c r="BG33" s="103"/>
      <c r="BH33" s="106"/>
      <c r="BI33" s="21" t="s">
        <v>48</v>
      </c>
      <c r="BJ33" s="106"/>
      <c r="BK33" s="22"/>
      <c r="BL33" s="106"/>
      <c r="BM33" s="106"/>
      <c r="BN33" s="106"/>
      <c r="BO33" s="106"/>
      <c r="BP33" s="111"/>
      <c r="BQ33" s="21" t="s">
        <v>48</v>
      </c>
      <c r="BR33" s="106"/>
      <c r="BS33" s="22"/>
      <c r="BT33" s="106"/>
      <c r="BU33" s="106"/>
      <c r="BV33" s="106"/>
      <c r="BW33" s="106"/>
      <c r="BX33" s="111"/>
      <c r="BZ33" s="103"/>
      <c r="CA33" s="106"/>
      <c r="CB33" s="21" t="s">
        <v>48</v>
      </c>
      <c r="CC33" s="106"/>
      <c r="CD33" s="22"/>
      <c r="CE33" s="106"/>
      <c r="CF33" s="106"/>
      <c r="CG33" s="106"/>
      <c r="CH33" s="106"/>
      <c r="CI33" s="111"/>
      <c r="CJ33" s="21" t="s">
        <v>48</v>
      </c>
      <c r="CK33" s="106"/>
      <c r="CL33" s="22"/>
      <c r="CM33" s="106"/>
      <c r="CN33" s="106"/>
      <c r="CO33" s="106"/>
      <c r="CP33" s="106"/>
      <c r="CQ33" s="111"/>
      <c r="CS33" s="103"/>
      <c r="CT33" s="106"/>
      <c r="CU33" s="21" t="s">
        <v>48</v>
      </c>
      <c r="CV33" s="106"/>
      <c r="CW33" s="22"/>
      <c r="CX33" s="106"/>
      <c r="CY33" s="106"/>
      <c r="CZ33" s="106"/>
      <c r="DA33" s="106"/>
      <c r="DB33" s="111"/>
      <c r="DC33" s="21" t="s">
        <v>48</v>
      </c>
      <c r="DD33" s="106"/>
      <c r="DE33" s="22"/>
      <c r="DF33" s="106"/>
      <c r="DG33" s="106"/>
      <c r="DH33" s="106"/>
      <c r="DI33" s="106"/>
      <c r="DJ33" s="111"/>
    </row>
    <row r="34" spans="1:114" ht="14.25" customHeight="1" x14ac:dyDescent="0.3">
      <c r="A34" s="66"/>
      <c r="B34" s="14"/>
      <c r="C34" s="26"/>
      <c r="D34" s="14"/>
      <c r="E34" s="27" t="s">
        <v>87</v>
      </c>
      <c r="F34" s="14"/>
      <c r="G34" s="14"/>
      <c r="H34" s="14"/>
      <c r="I34" s="14"/>
      <c r="J34" s="15"/>
      <c r="K34" s="26"/>
      <c r="L34" s="14"/>
      <c r="M34" s="27" t="s">
        <v>88</v>
      </c>
      <c r="N34" s="14"/>
      <c r="O34" s="14"/>
      <c r="P34" s="14"/>
      <c r="Q34" s="14"/>
      <c r="R34" s="15"/>
      <c r="T34" s="16"/>
      <c r="U34" s="66"/>
      <c r="V34" s="14"/>
      <c r="W34" s="26"/>
      <c r="X34" s="14"/>
      <c r="Y34" s="27"/>
      <c r="Z34" s="14"/>
      <c r="AA34" s="14"/>
      <c r="AB34" s="14"/>
      <c r="AC34" s="14"/>
      <c r="AD34" s="15"/>
      <c r="AE34" s="26"/>
      <c r="AF34" s="14"/>
      <c r="AG34" s="27"/>
      <c r="AH34" s="14"/>
      <c r="AI34" s="14"/>
      <c r="AJ34" s="14"/>
      <c r="AK34" s="14"/>
      <c r="AL34" s="15"/>
      <c r="AN34" s="66"/>
      <c r="AO34" s="14"/>
      <c r="AP34" s="26"/>
      <c r="AQ34" s="14"/>
      <c r="AR34" s="27"/>
      <c r="AS34" s="14"/>
      <c r="AT34" s="14"/>
      <c r="AU34" s="14"/>
      <c r="AV34" s="14"/>
      <c r="AW34" s="15"/>
      <c r="AX34" s="26"/>
      <c r="AY34" s="14"/>
      <c r="AZ34" s="27"/>
      <c r="BA34" s="14"/>
      <c r="BB34" s="14"/>
      <c r="BC34" s="14"/>
      <c r="BD34" s="14"/>
      <c r="BE34" s="15"/>
      <c r="BG34" s="66"/>
      <c r="BH34" s="14"/>
      <c r="BI34" s="26"/>
      <c r="BJ34" s="14"/>
      <c r="BK34" s="27"/>
      <c r="BL34" s="14"/>
      <c r="BM34" s="14"/>
      <c r="BN34" s="14"/>
      <c r="BO34" s="14"/>
      <c r="BP34" s="15"/>
      <c r="BQ34" s="26"/>
      <c r="BR34" s="14"/>
      <c r="BS34" s="27"/>
      <c r="BT34" s="14"/>
      <c r="BU34" s="14"/>
      <c r="BV34" s="14"/>
      <c r="BW34" s="14"/>
      <c r="BX34" s="15"/>
      <c r="BZ34" s="66"/>
      <c r="CA34" s="14"/>
      <c r="CB34" s="26"/>
      <c r="CC34" s="14"/>
      <c r="CD34" s="27"/>
      <c r="CE34" s="14"/>
      <c r="CF34" s="14"/>
      <c r="CG34" s="14"/>
      <c r="CH34" s="14"/>
      <c r="CI34" s="15"/>
      <c r="CJ34" s="26"/>
      <c r="CK34" s="14"/>
      <c r="CL34" s="27"/>
      <c r="CM34" s="14"/>
      <c r="CN34" s="14"/>
      <c r="CO34" s="14"/>
      <c r="CP34" s="14"/>
      <c r="CQ34" s="15"/>
      <c r="CS34" s="66"/>
      <c r="CT34" s="14"/>
      <c r="CU34" s="26"/>
      <c r="CV34" s="14"/>
      <c r="CW34" s="27"/>
      <c r="CX34" s="14"/>
      <c r="CY34" s="14"/>
      <c r="CZ34" s="14"/>
      <c r="DA34" s="14"/>
      <c r="DB34" s="15"/>
      <c r="DC34" s="26"/>
      <c r="DD34" s="14"/>
      <c r="DE34" s="27"/>
      <c r="DF34" s="14"/>
      <c r="DG34" s="14"/>
      <c r="DH34" s="14"/>
      <c r="DI34" s="14"/>
      <c r="DJ34" s="15"/>
    </row>
    <row r="35" spans="1:114" ht="14.25" customHeight="1" x14ac:dyDescent="0.3">
      <c r="A35" s="101">
        <v>3</v>
      </c>
      <c r="B35" s="104" t="s">
        <v>28</v>
      </c>
      <c r="C35" s="12" t="s">
        <v>29</v>
      </c>
      <c r="D35" s="104" t="s">
        <v>89</v>
      </c>
      <c r="E35" s="13">
        <v>3845</v>
      </c>
      <c r="F35" s="108">
        <v>0.87</v>
      </c>
      <c r="G35" s="104">
        <v>41</v>
      </c>
      <c r="H35" s="104">
        <v>31</v>
      </c>
      <c r="I35" s="108">
        <v>0.75</v>
      </c>
      <c r="J35" s="135" t="s">
        <v>90</v>
      </c>
      <c r="K35" s="12" t="s">
        <v>29</v>
      </c>
      <c r="L35" s="104" t="s">
        <v>91</v>
      </c>
      <c r="M35" s="13">
        <v>3833</v>
      </c>
      <c r="N35" s="112">
        <v>0.85</v>
      </c>
      <c r="O35" s="104">
        <v>47</v>
      </c>
      <c r="P35" s="104">
        <v>31</v>
      </c>
      <c r="Q35" s="108">
        <v>0.75</v>
      </c>
      <c r="R35" s="135" t="s">
        <v>92</v>
      </c>
      <c r="T35" s="116"/>
      <c r="U35" s="101">
        <v>3</v>
      </c>
      <c r="V35" s="104" t="s">
        <v>28</v>
      </c>
      <c r="W35" s="12" t="s">
        <v>29</v>
      </c>
      <c r="X35" s="104"/>
      <c r="Y35" s="13"/>
      <c r="Z35" s="108"/>
      <c r="AA35" s="104"/>
      <c r="AB35" s="104"/>
      <c r="AC35" s="108">
        <v>0.75</v>
      </c>
      <c r="AD35" s="135"/>
      <c r="AE35" s="12" t="s">
        <v>29</v>
      </c>
      <c r="AF35" s="104"/>
      <c r="AG35" s="13"/>
      <c r="AH35" s="112"/>
      <c r="AI35" s="104"/>
      <c r="AJ35" s="104"/>
      <c r="AK35" s="108">
        <v>0.75</v>
      </c>
      <c r="AL35" s="135"/>
      <c r="AN35" s="101">
        <v>3</v>
      </c>
      <c r="AO35" s="104" t="s">
        <v>28</v>
      </c>
      <c r="AP35" s="12" t="s">
        <v>29</v>
      </c>
      <c r="AQ35" s="104"/>
      <c r="AR35" s="13"/>
      <c r="AS35" s="108"/>
      <c r="AT35" s="104"/>
      <c r="AU35" s="104"/>
      <c r="AV35" s="108">
        <v>0.75</v>
      </c>
      <c r="AW35" s="135"/>
      <c r="AX35" s="12" t="s">
        <v>29</v>
      </c>
      <c r="AY35" s="104"/>
      <c r="AZ35" s="13"/>
      <c r="BA35" s="112"/>
      <c r="BB35" s="104"/>
      <c r="BC35" s="104"/>
      <c r="BD35" s="108">
        <v>0.75</v>
      </c>
      <c r="BE35" s="135"/>
      <c r="BG35" s="101">
        <v>3</v>
      </c>
      <c r="BH35" s="104" t="s">
        <v>28</v>
      </c>
      <c r="BI35" s="12" t="s">
        <v>29</v>
      </c>
      <c r="BJ35" s="104"/>
      <c r="BK35" s="13"/>
      <c r="BL35" s="108"/>
      <c r="BM35" s="104"/>
      <c r="BN35" s="104"/>
      <c r="BO35" s="108">
        <v>0.75</v>
      </c>
      <c r="BP35" s="135"/>
      <c r="BQ35" s="12" t="s">
        <v>29</v>
      </c>
      <c r="BR35" s="104"/>
      <c r="BS35" s="13"/>
      <c r="BT35" s="112"/>
      <c r="BU35" s="104"/>
      <c r="BV35" s="104"/>
      <c r="BW35" s="108">
        <v>0.75</v>
      </c>
      <c r="BX35" s="135"/>
      <c r="BZ35" s="101">
        <v>3</v>
      </c>
      <c r="CA35" s="104" t="s">
        <v>28</v>
      </c>
      <c r="CB35" s="12" t="s">
        <v>29</v>
      </c>
      <c r="CC35" s="104"/>
      <c r="CD35" s="13"/>
      <c r="CE35" s="108"/>
      <c r="CF35" s="104"/>
      <c r="CG35" s="104"/>
      <c r="CH35" s="108">
        <v>0.75</v>
      </c>
      <c r="CI35" s="135"/>
      <c r="CJ35" s="12" t="s">
        <v>29</v>
      </c>
      <c r="CK35" s="104"/>
      <c r="CL35" s="13"/>
      <c r="CM35" s="112"/>
      <c r="CN35" s="104"/>
      <c r="CO35" s="104"/>
      <c r="CP35" s="108">
        <v>0.75</v>
      </c>
      <c r="CQ35" s="135"/>
      <c r="CS35" s="101">
        <v>3</v>
      </c>
      <c r="CT35" s="104" t="s">
        <v>28</v>
      </c>
      <c r="CU35" s="12" t="s">
        <v>29</v>
      </c>
      <c r="CV35" s="104"/>
      <c r="CW35" s="13"/>
      <c r="CX35" s="108"/>
      <c r="CY35" s="104"/>
      <c r="CZ35" s="104"/>
      <c r="DA35" s="108">
        <v>0.75</v>
      </c>
      <c r="DB35" s="135"/>
      <c r="DC35" s="12" t="s">
        <v>29</v>
      </c>
      <c r="DD35" s="104"/>
      <c r="DE35" s="13"/>
      <c r="DF35" s="112"/>
      <c r="DG35" s="104"/>
      <c r="DH35" s="104"/>
      <c r="DI35" s="108">
        <v>0.75</v>
      </c>
      <c r="DJ35" s="135"/>
    </row>
    <row r="36" spans="1:114" ht="14.25" customHeight="1" x14ac:dyDescent="0.3">
      <c r="A36" s="102"/>
      <c r="B36" s="105"/>
      <c r="C36" s="18" t="s">
        <v>37</v>
      </c>
      <c r="D36" s="105"/>
      <c r="E36" s="19">
        <v>3831</v>
      </c>
      <c r="F36" s="105"/>
      <c r="G36" s="105"/>
      <c r="H36" s="105"/>
      <c r="I36" s="105"/>
      <c r="J36" s="110"/>
      <c r="K36" s="18" t="s">
        <v>37</v>
      </c>
      <c r="L36" s="105"/>
      <c r="M36" s="19">
        <v>3839</v>
      </c>
      <c r="N36" s="105"/>
      <c r="O36" s="105"/>
      <c r="P36" s="105"/>
      <c r="Q36" s="105"/>
      <c r="R36" s="110"/>
      <c r="T36" s="117"/>
      <c r="U36" s="102"/>
      <c r="V36" s="105"/>
      <c r="W36" s="18" t="s">
        <v>37</v>
      </c>
      <c r="X36" s="105"/>
      <c r="Y36" s="19"/>
      <c r="Z36" s="105"/>
      <c r="AA36" s="105"/>
      <c r="AB36" s="105"/>
      <c r="AC36" s="105"/>
      <c r="AD36" s="110"/>
      <c r="AE36" s="18" t="s">
        <v>37</v>
      </c>
      <c r="AF36" s="105"/>
      <c r="AG36" s="19"/>
      <c r="AH36" s="105"/>
      <c r="AI36" s="105"/>
      <c r="AJ36" s="105"/>
      <c r="AK36" s="105"/>
      <c r="AL36" s="110"/>
      <c r="AN36" s="102"/>
      <c r="AO36" s="105"/>
      <c r="AP36" s="18" t="s">
        <v>37</v>
      </c>
      <c r="AQ36" s="105"/>
      <c r="AR36" s="19"/>
      <c r="AS36" s="105"/>
      <c r="AT36" s="105"/>
      <c r="AU36" s="105"/>
      <c r="AV36" s="105"/>
      <c r="AW36" s="110"/>
      <c r="AX36" s="18" t="s">
        <v>37</v>
      </c>
      <c r="AY36" s="105"/>
      <c r="AZ36" s="19"/>
      <c r="BA36" s="105"/>
      <c r="BB36" s="105"/>
      <c r="BC36" s="105"/>
      <c r="BD36" s="105"/>
      <c r="BE36" s="110"/>
      <c r="BG36" s="102"/>
      <c r="BH36" s="105"/>
      <c r="BI36" s="18" t="s">
        <v>37</v>
      </c>
      <c r="BJ36" s="105"/>
      <c r="BK36" s="19"/>
      <c r="BL36" s="105"/>
      <c r="BM36" s="105"/>
      <c r="BN36" s="105"/>
      <c r="BO36" s="105"/>
      <c r="BP36" s="110"/>
      <c r="BQ36" s="18" t="s">
        <v>37</v>
      </c>
      <c r="BR36" s="105"/>
      <c r="BS36" s="19"/>
      <c r="BT36" s="105"/>
      <c r="BU36" s="105"/>
      <c r="BV36" s="105"/>
      <c r="BW36" s="105"/>
      <c r="BX36" s="110"/>
      <c r="BZ36" s="102"/>
      <c r="CA36" s="105"/>
      <c r="CB36" s="18" t="s">
        <v>37</v>
      </c>
      <c r="CC36" s="105"/>
      <c r="CD36" s="19"/>
      <c r="CE36" s="105"/>
      <c r="CF36" s="105"/>
      <c r="CG36" s="105"/>
      <c r="CH36" s="105"/>
      <c r="CI36" s="110"/>
      <c r="CJ36" s="18" t="s">
        <v>37</v>
      </c>
      <c r="CK36" s="105"/>
      <c r="CL36" s="19"/>
      <c r="CM36" s="105"/>
      <c r="CN36" s="105"/>
      <c r="CO36" s="105"/>
      <c r="CP36" s="105"/>
      <c r="CQ36" s="110"/>
      <c r="CS36" s="102"/>
      <c r="CT36" s="105"/>
      <c r="CU36" s="18" t="s">
        <v>37</v>
      </c>
      <c r="CV36" s="105"/>
      <c r="CW36" s="19"/>
      <c r="CX36" s="105"/>
      <c r="CY36" s="105"/>
      <c r="CZ36" s="105"/>
      <c r="DA36" s="105"/>
      <c r="DB36" s="110"/>
      <c r="DC36" s="18" t="s">
        <v>37</v>
      </c>
      <c r="DD36" s="105"/>
      <c r="DE36" s="19"/>
      <c r="DF36" s="105"/>
      <c r="DG36" s="105"/>
      <c r="DH36" s="105"/>
      <c r="DI36" s="105"/>
      <c r="DJ36" s="110"/>
    </row>
    <row r="37" spans="1:114" ht="14.25" customHeight="1" x14ac:dyDescent="0.3">
      <c r="A37" s="102"/>
      <c r="B37" s="105"/>
      <c r="C37" s="18" t="s">
        <v>38</v>
      </c>
      <c r="D37" s="105"/>
      <c r="E37" s="19">
        <v>3838</v>
      </c>
      <c r="F37" s="105"/>
      <c r="G37" s="105"/>
      <c r="H37" s="105"/>
      <c r="I37" s="105"/>
      <c r="J37" s="110"/>
      <c r="K37" s="18" t="s">
        <v>38</v>
      </c>
      <c r="L37" s="105"/>
      <c r="M37" s="19">
        <v>3829</v>
      </c>
      <c r="N37" s="105"/>
      <c r="O37" s="105"/>
      <c r="P37" s="105"/>
      <c r="Q37" s="105"/>
      <c r="R37" s="110"/>
      <c r="T37" s="117"/>
      <c r="U37" s="102"/>
      <c r="V37" s="105"/>
      <c r="W37" s="18" t="s">
        <v>38</v>
      </c>
      <c r="X37" s="105"/>
      <c r="Y37" s="19"/>
      <c r="Z37" s="105"/>
      <c r="AA37" s="105"/>
      <c r="AB37" s="105"/>
      <c r="AC37" s="105"/>
      <c r="AD37" s="110"/>
      <c r="AE37" s="18" t="s">
        <v>38</v>
      </c>
      <c r="AF37" s="105"/>
      <c r="AG37" s="19"/>
      <c r="AH37" s="105"/>
      <c r="AI37" s="105"/>
      <c r="AJ37" s="105"/>
      <c r="AK37" s="105"/>
      <c r="AL37" s="110"/>
      <c r="AN37" s="102"/>
      <c r="AO37" s="105"/>
      <c r="AP37" s="18" t="s">
        <v>38</v>
      </c>
      <c r="AQ37" s="105"/>
      <c r="AR37" s="19"/>
      <c r="AS37" s="105"/>
      <c r="AT37" s="105"/>
      <c r="AU37" s="105"/>
      <c r="AV37" s="105"/>
      <c r="AW37" s="110"/>
      <c r="AX37" s="18" t="s">
        <v>38</v>
      </c>
      <c r="AY37" s="105"/>
      <c r="AZ37" s="19"/>
      <c r="BA37" s="105"/>
      <c r="BB37" s="105"/>
      <c r="BC37" s="105"/>
      <c r="BD37" s="105"/>
      <c r="BE37" s="110"/>
      <c r="BG37" s="102"/>
      <c r="BH37" s="105"/>
      <c r="BI37" s="18" t="s">
        <v>38</v>
      </c>
      <c r="BJ37" s="105"/>
      <c r="BK37" s="19"/>
      <c r="BL37" s="105"/>
      <c r="BM37" s="105"/>
      <c r="BN37" s="105"/>
      <c r="BO37" s="105"/>
      <c r="BP37" s="110"/>
      <c r="BQ37" s="18" t="s">
        <v>38</v>
      </c>
      <c r="BR37" s="105"/>
      <c r="BS37" s="19"/>
      <c r="BT37" s="105"/>
      <c r="BU37" s="105"/>
      <c r="BV37" s="105"/>
      <c r="BW37" s="105"/>
      <c r="BX37" s="110"/>
      <c r="BZ37" s="102"/>
      <c r="CA37" s="105"/>
      <c r="CB37" s="18" t="s">
        <v>38</v>
      </c>
      <c r="CC37" s="105"/>
      <c r="CD37" s="19"/>
      <c r="CE37" s="105"/>
      <c r="CF37" s="105"/>
      <c r="CG37" s="105"/>
      <c r="CH37" s="105"/>
      <c r="CI37" s="110"/>
      <c r="CJ37" s="18" t="s">
        <v>38</v>
      </c>
      <c r="CK37" s="105"/>
      <c r="CL37" s="19"/>
      <c r="CM37" s="105"/>
      <c r="CN37" s="105"/>
      <c r="CO37" s="105"/>
      <c r="CP37" s="105"/>
      <c r="CQ37" s="110"/>
      <c r="CS37" s="102"/>
      <c r="CT37" s="105"/>
      <c r="CU37" s="18" t="s">
        <v>38</v>
      </c>
      <c r="CV37" s="105"/>
      <c r="CW37" s="19"/>
      <c r="CX37" s="105"/>
      <c r="CY37" s="105"/>
      <c r="CZ37" s="105"/>
      <c r="DA37" s="105"/>
      <c r="DB37" s="110"/>
      <c r="DC37" s="18" t="s">
        <v>38</v>
      </c>
      <c r="DD37" s="105"/>
      <c r="DE37" s="19"/>
      <c r="DF37" s="105"/>
      <c r="DG37" s="105"/>
      <c r="DH37" s="105"/>
      <c r="DI37" s="105"/>
      <c r="DJ37" s="110"/>
    </row>
    <row r="38" spans="1:114" ht="14.25" customHeight="1" x14ac:dyDescent="0.3">
      <c r="A38" s="102"/>
      <c r="B38" s="105"/>
      <c r="C38" s="18" t="s">
        <v>39</v>
      </c>
      <c r="D38" s="105"/>
      <c r="E38" s="19">
        <v>3826</v>
      </c>
      <c r="F38" s="105"/>
      <c r="G38" s="105"/>
      <c r="H38" s="105"/>
      <c r="I38" s="105"/>
      <c r="J38" s="110"/>
      <c r="K38" s="18" t="s">
        <v>39</v>
      </c>
      <c r="L38" s="105"/>
      <c r="M38" s="19">
        <v>3837</v>
      </c>
      <c r="N38" s="105"/>
      <c r="O38" s="105"/>
      <c r="P38" s="105"/>
      <c r="Q38" s="105"/>
      <c r="R38" s="110"/>
      <c r="T38" s="117"/>
      <c r="U38" s="102"/>
      <c r="V38" s="105"/>
      <c r="W38" s="18" t="s">
        <v>39</v>
      </c>
      <c r="X38" s="105"/>
      <c r="Y38" s="19"/>
      <c r="Z38" s="105"/>
      <c r="AA38" s="105"/>
      <c r="AB38" s="105"/>
      <c r="AC38" s="105"/>
      <c r="AD38" s="110"/>
      <c r="AE38" s="18" t="s">
        <v>39</v>
      </c>
      <c r="AF38" s="105"/>
      <c r="AG38" s="19"/>
      <c r="AH38" s="105"/>
      <c r="AI38" s="105"/>
      <c r="AJ38" s="105"/>
      <c r="AK38" s="105"/>
      <c r="AL38" s="110"/>
      <c r="AN38" s="102"/>
      <c r="AO38" s="105"/>
      <c r="AP38" s="18" t="s">
        <v>39</v>
      </c>
      <c r="AQ38" s="105"/>
      <c r="AR38" s="19"/>
      <c r="AS38" s="105"/>
      <c r="AT38" s="105"/>
      <c r="AU38" s="105"/>
      <c r="AV38" s="105"/>
      <c r="AW38" s="110"/>
      <c r="AX38" s="18" t="s">
        <v>39</v>
      </c>
      <c r="AY38" s="105"/>
      <c r="AZ38" s="19"/>
      <c r="BA38" s="105"/>
      <c r="BB38" s="105"/>
      <c r="BC38" s="105"/>
      <c r="BD38" s="105"/>
      <c r="BE38" s="110"/>
      <c r="BG38" s="102"/>
      <c r="BH38" s="105"/>
      <c r="BI38" s="18" t="s">
        <v>39</v>
      </c>
      <c r="BJ38" s="105"/>
      <c r="BK38" s="19"/>
      <c r="BL38" s="105"/>
      <c r="BM38" s="105"/>
      <c r="BN38" s="105"/>
      <c r="BO38" s="105"/>
      <c r="BP38" s="110"/>
      <c r="BQ38" s="18" t="s">
        <v>39</v>
      </c>
      <c r="BR38" s="105"/>
      <c r="BS38" s="19"/>
      <c r="BT38" s="105"/>
      <c r="BU38" s="105"/>
      <c r="BV38" s="105"/>
      <c r="BW38" s="105"/>
      <c r="BX38" s="110"/>
      <c r="BZ38" s="102"/>
      <c r="CA38" s="105"/>
      <c r="CB38" s="18" t="s">
        <v>39</v>
      </c>
      <c r="CC38" s="105"/>
      <c r="CD38" s="19"/>
      <c r="CE38" s="105"/>
      <c r="CF38" s="105"/>
      <c r="CG38" s="105"/>
      <c r="CH38" s="105"/>
      <c r="CI38" s="110"/>
      <c r="CJ38" s="18" t="s">
        <v>39</v>
      </c>
      <c r="CK38" s="105"/>
      <c r="CL38" s="19"/>
      <c r="CM38" s="105"/>
      <c r="CN38" s="105"/>
      <c r="CO38" s="105"/>
      <c r="CP38" s="105"/>
      <c r="CQ38" s="110"/>
      <c r="CS38" s="102"/>
      <c r="CT38" s="105"/>
      <c r="CU38" s="18" t="s">
        <v>39</v>
      </c>
      <c r="CV38" s="105"/>
      <c r="CW38" s="19"/>
      <c r="CX38" s="105"/>
      <c r="CY38" s="105"/>
      <c r="CZ38" s="105"/>
      <c r="DA38" s="105"/>
      <c r="DB38" s="110"/>
      <c r="DC38" s="18" t="s">
        <v>39</v>
      </c>
      <c r="DD38" s="105"/>
      <c r="DE38" s="19"/>
      <c r="DF38" s="105"/>
      <c r="DG38" s="105"/>
      <c r="DH38" s="105"/>
      <c r="DI38" s="105"/>
      <c r="DJ38" s="110"/>
    </row>
    <row r="39" spans="1:114" ht="14.25" customHeight="1" x14ac:dyDescent="0.3">
      <c r="A39" s="102"/>
      <c r="B39" s="105"/>
      <c r="C39" s="18" t="s">
        <v>40</v>
      </c>
      <c r="D39" s="105"/>
      <c r="E39" s="19">
        <v>3838</v>
      </c>
      <c r="F39" s="105"/>
      <c r="G39" s="105"/>
      <c r="H39" s="105"/>
      <c r="I39" s="105"/>
      <c r="J39" s="110"/>
      <c r="K39" s="18" t="s">
        <v>40</v>
      </c>
      <c r="L39" s="105"/>
      <c r="M39" s="19">
        <v>3828</v>
      </c>
      <c r="N39" s="105"/>
      <c r="O39" s="105"/>
      <c r="P39" s="105"/>
      <c r="Q39" s="105"/>
      <c r="R39" s="110"/>
      <c r="T39" s="117"/>
      <c r="U39" s="102"/>
      <c r="V39" s="105"/>
      <c r="W39" s="18" t="s">
        <v>40</v>
      </c>
      <c r="X39" s="105"/>
      <c r="Y39" s="19"/>
      <c r="Z39" s="105"/>
      <c r="AA39" s="105"/>
      <c r="AB39" s="105"/>
      <c r="AC39" s="105"/>
      <c r="AD39" s="110"/>
      <c r="AE39" s="18" t="s">
        <v>40</v>
      </c>
      <c r="AF39" s="105"/>
      <c r="AG39" s="19"/>
      <c r="AH39" s="105"/>
      <c r="AI39" s="105"/>
      <c r="AJ39" s="105"/>
      <c r="AK39" s="105"/>
      <c r="AL39" s="110"/>
      <c r="AN39" s="102"/>
      <c r="AO39" s="105"/>
      <c r="AP39" s="18" t="s">
        <v>40</v>
      </c>
      <c r="AQ39" s="105"/>
      <c r="AR39" s="19"/>
      <c r="AS39" s="105"/>
      <c r="AT39" s="105"/>
      <c r="AU39" s="105"/>
      <c r="AV39" s="105"/>
      <c r="AW39" s="110"/>
      <c r="AX39" s="18" t="s">
        <v>40</v>
      </c>
      <c r="AY39" s="105"/>
      <c r="AZ39" s="19"/>
      <c r="BA39" s="105"/>
      <c r="BB39" s="105"/>
      <c r="BC39" s="105"/>
      <c r="BD39" s="105"/>
      <c r="BE39" s="110"/>
      <c r="BG39" s="102"/>
      <c r="BH39" s="105"/>
      <c r="BI39" s="18" t="s">
        <v>40</v>
      </c>
      <c r="BJ39" s="105"/>
      <c r="BK39" s="19"/>
      <c r="BL39" s="105"/>
      <c r="BM39" s="105"/>
      <c r="BN39" s="105"/>
      <c r="BO39" s="105"/>
      <c r="BP39" s="110"/>
      <c r="BQ39" s="18" t="s">
        <v>40</v>
      </c>
      <c r="BR39" s="105"/>
      <c r="BS39" s="19"/>
      <c r="BT39" s="105"/>
      <c r="BU39" s="105"/>
      <c r="BV39" s="105"/>
      <c r="BW39" s="105"/>
      <c r="BX39" s="110"/>
      <c r="BZ39" s="102"/>
      <c r="CA39" s="105"/>
      <c r="CB39" s="18" t="s">
        <v>40</v>
      </c>
      <c r="CC39" s="105"/>
      <c r="CD39" s="19"/>
      <c r="CE39" s="105"/>
      <c r="CF39" s="105"/>
      <c r="CG39" s="105"/>
      <c r="CH39" s="105"/>
      <c r="CI39" s="110"/>
      <c r="CJ39" s="18" t="s">
        <v>40</v>
      </c>
      <c r="CK39" s="105"/>
      <c r="CL39" s="19"/>
      <c r="CM39" s="105"/>
      <c r="CN39" s="105"/>
      <c r="CO39" s="105"/>
      <c r="CP39" s="105"/>
      <c r="CQ39" s="110"/>
      <c r="CS39" s="102"/>
      <c r="CT39" s="105"/>
      <c r="CU39" s="18" t="s">
        <v>40</v>
      </c>
      <c r="CV39" s="105"/>
      <c r="CW39" s="19"/>
      <c r="CX39" s="105"/>
      <c r="CY39" s="105"/>
      <c r="CZ39" s="105"/>
      <c r="DA39" s="105"/>
      <c r="DB39" s="110"/>
      <c r="DC39" s="18" t="s">
        <v>40</v>
      </c>
      <c r="DD39" s="105"/>
      <c r="DE39" s="19"/>
      <c r="DF39" s="105"/>
      <c r="DG39" s="105"/>
      <c r="DH39" s="105"/>
      <c r="DI39" s="105"/>
      <c r="DJ39" s="110"/>
    </row>
    <row r="40" spans="1:114" ht="14.25" customHeight="1" x14ac:dyDescent="0.3">
      <c r="A40" s="102"/>
      <c r="B40" s="105"/>
      <c r="C40" s="18" t="s">
        <v>41</v>
      </c>
      <c r="D40" s="105"/>
      <c r="E40" s="19">
        <v>3827</v>
      </c>
      <c r="F40" s="105"/>
      <c r="G40" s="105"/>
      <c r="H40" s="105"/>
      <c r="I40" s="105"/>
      <c r="J40" s="110"/>
      <c r="K40" s="18" t="s">
        <v>41</v>
      </c>
      <c r="L40" s="105"/>
      <c r="M40" s="19">
        <v>3836</v>
      </c>
      <c r="N40" s="105"/>
      <c r="O40" s="105"/>
      <c r="P40" s="105"/>
      <c r="Q40" s="105"/>
      <c r="R40" s="110"/>
      <c r="T40" s="117"/>
      <c r="U40" s="102"/>
      <c r="V40" s="105"/>
      <c r="W40" s="18" t="s">
        <v>41</v>
      </c>
      <c r="X40" s="105"/>
      <c r="Y40" s="19"/>
      <c r="Z40" s="105"/>
      <c r="AA40" s="105"/>
      <c r="AB40" s="105"/>
      <c r="AC40" s="105"/>
      <c r="AD40" s="110"/>
      <c r="AE40" s="18" t="s">
        <v>41</v>
      </c>
      <c r="AF40" s="105"/>
      <c r="AG40" s="19"/>
      <c r="AH40" s="105"/>
      <c r="AI40" s="105"/>
      <c r="AJ40" s="105"/>
      <c r="AK40" s="105"/>
      <c r="AL40" s="110"/>
      <c r="AN40" s="102"/>
      <c r="AO40" s="105"/>
      <c r="AP40" s="18" t="s">
        <v>41</v>
      </c>
      <c r="AQ40" s="105"/>
      <c r="AR40" s="19"/>
      <c r="AS40" s="105"/>
      <c r="AT40" s="105"/>
      <c r="AU40" s="105"/>
      <c r="AV40" s="105"/>
      <c r="AW40" s="110"/>
      <c r="AX40" s="18" t="s">
        <v>41</v>
      </c>
      <c r="AY40" s="105"/>
      <c r="AZ40" s="19"/>
      <c r="BA40" s="105"/>
      <c r="BB40" s="105"/>
      <c r="BC40" s="105"/>
      <c r="BD40" s="105"/>
      <c r="BE40" s="110"/>
      <c r="BG40" s="102"/>
      <c r="BH40" s="105"/>
      <c r="BI40" s="18" t="s">
        <v>41</v>
      </c>
      <c r="BJ40" s="105"/>
      <c r="BK40" s="19"/>
      <c r="BL40" s="105"/>
      <c r="BM40" s="105"/>
      <c r="BN40" s="105"/>
      <c r="BO40" s="105"/>
      <c r="BP40" s="110"/>
      <c r="BQ40" s="18" t="s">
        <v>41</v>
      </c>
      <c r="BR40" s="105"/>
      <c r="BS40" s="19"/>
      <c r="BT40" s="105"/>
      <c r="BU40" s="105"/>
      <c r="BV40" s="105"/>
      <c r="BW40" s="105"/>
      <c r="BX40" s="110"/>
      <c r="BZ40" s="102"/>
      <c r="CA40" s="105"/>
      <c r="CB40" s="18" t="s">
        <v>41</v>
      </c>
      <c r="CC40" s="105"/>
      <c r="CD40" s="19"/>
      <c r="CE40" s="105"/>
      <c r="CF40" s="105"/>
      <c r="CG40" s="105"/>
      <c r="CH40" s="105"/>
      <c r="CI40" s="110"/>
      <c r="CJ40" s="18" t="s">
        <v>41</v>
      </c>
      <c r="CK40" s="105"/>
      <c r="CL40" s="19"/>
      <c r="CM40" s="105"/>
      <c r="CN40" s="105"/>
      <c r="CO40" s="105"/>
      <c r="CP40" s="105"/>
      <c r="CQ40" s="110"/>
      <c r="CS40" s="102"/>
      <c r="CT40" s="105"/>
      <c r="CU40" s="18" t="s">
        <v>41</v>
      </c>
      <c r="CV40" s="105"/>
      <c r="CW40" s="19"/>
      <c r="CX40" s="105"/>
      <c r="CY40" s="105"/>
      <c r="CZ40" s="105"/>
      <c r="DA40" s="105"/>
      <c r="DB40" s="110"/>
      <c r="DC40" s="18" t="s">
        <v>41</v>
      </c>
      <c r="DD40" s="105"/>
      <c r="DE40" s="19"/>
      <c r="DF40" s="105"/>
      <c r="DG40" s="105"/>
      <c r="DH40" s="105"/>
      <c r="DI40" s="105"/>
      <c r="DJ40" s="110"/>
    </row>
    <row r="41" spans="1:114" ht="14.25" customHeight="1" x14ac:dyDescent="0.3">
      <c r="A41" s="102"/>
      <c r="B41" s="105"/>
      <c r="C41" s="18" t="s">
        <v>42</v>
      </c>
      <c r="D41" s="105"/>
      <c r="E41" s="19">
        <v>3837</v>
      </c>
      <c r="F41" s="105"/>
      <c r="G41" s="105"/>
      <c r="H41" s="105"/>
      <c r="I41" s="105"/>
      <c r="J41" s="110"/>
      <c r="K41" s="18" t="s">
        <v>42</v>
      </c>
      <c r="L41" s="105"/>
      <c r="M41" s="19">
        <v>3827</v>
      </c>
      <c r="N41" s="105"/>
      <c r="O41" s="105"/>
      <c r="P41" s="105"/>
      <c r="Q41" s="105"/>
      <c r="R41" s="110"/>
      <c r="T41" s="117"/>
      <c r="U41" s="102"/>
      <c r="V41" s="105"/>
      <c r="W41" s="18" t="s">
        <v>42</v>
      </c>
      <c r="X41" s="105"/>
      <c r="Y41" s="19"/>
      <c r="Z41" s="105"/>
      <c r="AA41" s="105"/>
      <c r="AB41" s="105"/>
      <c r="AC41" s="105"/>
      <c r="AD41" s="110"/>
      <c r="AE41" s="18" t="s">
        <v>42</v>
      </c>
      <c r="AF41" s="105"/>
      <c r="AG41" s="19"/>
      <c r="AH41" s="105"/>
      <c r="AI41" s="105"/>
      <c r="AJ41" s="105"/>
      <c r="AK41" s="105"/>
      <c r="AL41" s="110"/>
      <c r="AN41" s="102"/>
      <c r="AO41" s="105"/>
      <c r="AP41" s="18" t="s">
        <v>42</v>
      </c>
      <c r="AQ41" s="105"/>
      <c r="AR41" s="19"/>
      <c r="AS41" s="105"/>
      <c r="AT41" s="105"/>
      <c r="AU41" s="105"/>
      <c r="AV41" s="105"/>
      <c r="AW41" s="110"/>
      <c r="AX41" s="18" t="s">
        <v>42</v>
      </c>
      <c r="AY41" s="105"/>
      <c r="AZ41" s="19"/>
      <c r="BA41" s="105"/>
      <c r="BB41" s="105"/>
      <c r="BC41" s="105"/>
      <c r="BD41" s="105"/>
      <c r="BE41" s="110"/>
      <c r="BG41" s="102"/>
      <c r="BH41" s="105"/>
      <c r="BI41" s="18" t="s">
        <v>42</v>
      </c>
      <c r="BJ41" s="105"/>
      <c r="BK41" s="19"/>
      <c r="BL41" s="105"/>
      <c r="BM41" s="105"/>
      <c r="BN41" s="105"/>
      <c r="BO41" s="105"/>
      <c r="BP41" s="110"/>
      <c r="BQ41" s="18" t="s">
        <v>42</v>
      </c>
      <c r="BR41" s="105"/>
      <c r="BS41" s="19"/>
      <c r="BT41" s="105"/>
      <c r="BU41" s="105"/>
      <c r="BV41" s="105"/>
      <c r="BW41" s="105"/>
      <c r="BX41" s="110"/>
      <c r="BZ41" s="102"/>
      <c r="CA41" s="105"/>
      <c r="CB41" s="18" t="s">
        <v>42</v>
      </c>
      <c r="CC41" s="105"/>
      <c r="CD41" s="19"/>
      <c r="CE41" s="105"/>
      <c r="CF41" s="105"/>
      <c r="CG41" s="105"/>
      <c r="CH41" s="105"/>
      <c r="CI41" s="110"/>
      <c r="CJ41" s="18" t="s">
        <v>42</v>
      </c>
      <c r="CK41" s="105"/>
      <c r="CL41" s="19"/>
      <c r="CM41" s="105"/>
      <c r="CN41" s="105"/>
      <c r="CO41" s="105"/>
      <c r="CP41" s="105"/>
      <c r="CQ41" s="110"/>
      <c r="CS41" s="102"/>
      <c r="CT41" s="105"/>
      <c r="CU41" s="18" t="s">
        <v>42</v>
      </c>
      <c r="CV41" s="105"/>
      <c r="CW41" s="19"/>
      <c r="CX41" s="105"/>
      <c r="CY41" s="105"/>
      <c r="CZ41" s="105"/>
      <c r="DA41" s="105"/>
      <c r="DB41" s="110"/>
      <c r="DC41" s="18" t="s">
        <v>42</v>
      </c>
      <c r="DD41" s="105"/>
      <c r="DE41" s="19"/>
      <c r="DF41" s="105"/>
      <c r="DG41" s="105"/>
      <c r="DH41" s="105"/>
      <c r="DI41" s="105"/>
      <c r="DJ41" s="110"/>
    </row>
    <row r="42" spans="1:114" ht="14.25" customHeight="1" x14ac:dyDescent="0.3">
      <c r="A42" s="102"/>
      <c r="B42" s="105"/>
      <c r="C42" s="18" t="s">
        <v>43</v>
      </c>
      <c r="D42" s="105"/>
      <c r="E42" s="19">
        <v>3820</v>
      </c>
      <c r="F42" s="105"/>
      <c r="G42" s="105"/>
      <c r="H42" s="105"/>
      <c r="I42" s="105"/>
      <c r="J42" s="110"/>
      <c r="K42" s="18" t="s">
        <v>43</v>
      </c>
      <c r="L42" s="105"/>
      <c r="M42" s="19">
        <v>3817</v>
      </c>
      <c r="N42" s="105"/>
      <c r="O42" s="105"/>
      <c r="P42" s="105"/>
      <c r="Q42" s="105"/>
      <c r="R42" s="110"/>
      <c r="T42" s="117"/>
      <c r="U42" s="102"/>
      <c r="V42" s="105"/>
      <c r="W42" s="18" t="s">
        <v>43</v>
      </c>
      <c r="X42" s="105"/>
      <c r="Y42" s="19"/>
      <c r="Z42" s="105"/>
      <c r="AA42" s="105"/>
      <c r="AB42" s="105"/>
      <c r="AC42" s="105"/>
      <c r="AD42" s="110"/>
      <c r="AE42" s="18" t="s">
        <v>43</v>
      </c>
      <c r="AF42" s="105"/>
      <c r="AG42" s="19"/>
      <c r="AH42" s="105"/>
      <c r="AI42" s="105"/>
      <c r="AJ42" s="105"/>
      <c r="AK42" s="105"/>
      <c r="AL42" s="110"/>
      <c r="AN42" s="102"/>
      <c r="AO42" s="105"/>
      <c r="AP42" s="18" t="s">
        <v>43</v>
      </c>
      <c r="AQ42" s="105"/>
      <c r="AR42" s="19"/>
      <c r="AS42" s="105"/>
      <c r="AT42" s="105"/>
      <c r="AU42" s="105"/>
      <c r="AV42" s="105"/>
      <c r="AW42" s="110"/>
      <c r="AX42" s="18" t="s">
        <v>43</v>
      </c>
      <c r="AY42" s="105"/>
      <c r="AZ42" s="19"/>
      <c r="BA42" s="105"/>
      <c r="BB42" s="105"/>
      <c r="BC42" s="105"/>
      <c r="BD42" s="105"/>
      <c r="BE42" s="110"/>
      <c r="BG42" s="102"/>
      <c r="BH42" s="105"/>
      <c r="BI42" s="18" t="s">
        <v>43</v>
      </c>
      <c r="BJ42" s="105"/>
      <c r="BK42" s="19"/>
      <c r="BL42" s="105"/>
      <c r="BM42" s="105"/>
      <c r="BN42" s="105"/>
      <c r="BO42" s="105"/>
      <c r="BP42" s="110"/>
      <c r="BQ42" s="18" t="s">
        <v>43</v>
      </c>
      <c r="BR42" s="105"/>
      <c r="BS42" s="19"/>
      <c r="BT42" s="105"/>
      <c r="BU42" s="105"/>
      <c r="BV42" s="105"/>
      <c r="BW42" s="105"/>
      <c r="BX42" s="110"/>
      <c r="BZ42" s="102"/>
      <c r="CA42" s="105"/>
      <c r="CB42" s="18" t="s">
        <v>43</v>
      </c>
      <c r="CC42" s="105"/>
      <c r="CD42" s="19"/>
      <c r="CE42" s="105"/>
      <c r="CF42" s="105"/>
      <c r="CG42" s="105"/>
      <c r="CH42" s="105"/>
      <c r="CI42" s="110"/>
      <c r="CJ42" s="18" t="s">
        <v>43</v>
      </c>
      <c r="CK42" s="105"/>
      <c r="CL42" s="19"/>
      <c r="CM42" s="105"/>
      <c r="CN42" s="105"/>
      <c r="CO42" s="105"/>
      <c r="CP42" s="105"/>
      <c r="CQ42" s="110"/>
      <c r="CS42" s="102"/>
      <c r="CT42" s="105"/>
      <c r="CU42" s="18" t="s">
        <v>43</v>
      </c>
      <c r="CV42" s="105"/>
      <c r="CW42" s="19"/>
      <c r="CX42" s="105"/>
      <c r="CY42" s="105"/>
      <c r="CZ42" s="105"/>
      <c r="DA42" s="105"/>
      <c r="DB42" s="110"/>
      <c r="DC42" s="18" t="s">
        <v>43</v>
      </c>
      <c r="DD42" s="105"/>
      <c r="DE42" s="19"/>
      <c r="DF42" s="105"/>
      <c r="DG42" s="105"/>
      <c r="DH42" s="105"/>
      <c r="DI42" s="105"/>
      <c r="DJ42" s="110"/>
    </row>
    <row r="43" spans="1:114" ht="14.25" customHeight="1" x14ac:dyDescent="0.3">
      <c r="A43" s="102"/>
      <c r="B43" s="105"/>
      <c r="C43" s="18" t="s">
        <v>44</v>
      </c>
      <c r="D43" s="105"/>
      <c r="E43" s="19">
        <v>3838</v>
      </c>
      <c r="F43" s="105"/>
      <c r="G43" s="105"/>
      <c r="H43" s="105"/>
      <c r="I43" s="105"/>
      <c r="J43" s="110"/>
      <c r="K43" s="18" t="s">
        <v>44</v>
      </c>
      <c r="L43" s="105"/>
      <c r="M43" s="19">
        <v>3829</v>
      </c>
      <c r="N43" s="105"/>
      <c r="O43" s="105"/>
      <c r="P43" s="105"/>
      <c r="Q43" s="105"/>
      <c r="R43" s="110"/>
      <c r="T43" s="117"/>
      <c r="U43" s="102"/>
      <c r="V43" s="105"/>
      <c r="W43" s="18" t="s">
        <v>44</v>
      </c>
      <c r="X43" s="105"/>
      <c r="Y43" s="19"/>
      <c r="Z43" s="105"/>
      <c r="AA43" s="105"/>
      <c r="AB43" s="105"/>
      <c r="AC43" s="105"/>
      <c r="AD43" s="110"/>
      <c r="AE43" s="18" t="s">
        <v>44</v>
      </c>
      <c r="AF43" s="105"/>
      <c r="AG43" s="19"/>
      <c r="AH43" s="105"/>
      <c r="AI43" s="105"/>
      <c r="AJ43" s="105"/>
      <c r="AK43" s="105"/>
      <c r="AL43" s="110"/>
      <c r="AN43" s="102"/>
      <c r="AO43" s="105"/>
      <c r="AP43" s="18" t="s">
        <v>44</v>
      </c>
      <c r="AQ43" s="105"/>
      <c r="AR43" s="19"/>
      <c r="AS43" s="105"/>
      <c r="AT43" s="105"/>
      <c r="AU43" s="105"/>
      <c r="AV43" s="105"/>
      <c r="AW43" s="110"/>
      <c r="AX43" s="18" t="s">
        <v>44</v>
      </c>
      <c r="AY43" s="105"/>
      <c r="AZ43" s="19"/>
      <c r="BA43" s="105"/>
      <c r="BB43" s="105"/>
      <c r="BC43" s="105"/>
      <c r="BD43" s="105"/>
      <c r="BE43" s="110"/>
      <c r="BG43" s="102"/>
      <c r="BH43" s="105"/>
      <c r="BI43" s="18" t="s">
        <v>44</v>
      </c>
      <c r="BJ43" s="105"/>
      <c r="BK43" s="19"/>
      <c r="BL43" s="105"/>
      <c r="BM43" s="105"/>
      <c r="BN43" s="105"/>
      <c r="BO43" s="105"/>
      <c r="BP43" s="110"/>
      <c r="BQ43" s="18" t="s">
        <v>44</v>
      </c>
      <c r="BR43" s="105"/>
      <c r="BS43" s="19"/>
      <c r="BT43" s="105"/>
      <c r="BU43" s="105"/>
      <c r="BV43" s="105"/>
      <c r="BW43" s="105"/>
      <c r="BX43" s="110"/>
      <c r="BZ43" s="102"/>
      <c r="CA43" s="105"/>
      <c r="CB43" s="18" t="s">
        <v>44</v>
      </c>
      <c r="CC43" s="105"/>
      <c r="CD43" s="19"/>
      <c r="CE43" s="105"/>
      <c r="CF43" s="105"/>
      <c r="CG43" s="105"/>
      <c r="CH43" s="105"/>
      <c r="CI43" s="110"/>
      <c r="CJ43" s="18" t="s">
        <v>44</v>
      </c>
      <c r="CK43" s="105"/>
      <c r="CL43" s="19"/>
      <c r="CM43" s="105"/>
      <c r="CN43" s="105"/>
      <c r="CO43" s="105"/>
      <c r="CP43" s="105"/>
      <c r="CQ43" s="110"/>
      <c r="CS43" s="102"/>
      <c r="CT43" s="105"/>
      <c r="CU43" s="18" t="s">
        <v>44</v>
      </c>
      <c r="CV43" s="105"/>
      <c r="CW43" s="19"/>
      <c r="CX43" s="105"/>
      <c r="CY43" s="105"/>
      <c r="CZ43" s="105"/>
      <c r="DA43" s="105"/>
      <c r="DB43" s="110"/>
      <c r="DC43" s="18" t="s">
        <v>44</v>
      </c>
      <c r="DD43" s="105"/>
      <c r="DE43" s="19"/>
      <c r="DF43" s="105"/>
      <c r="DG43" s="105"/>
      <c r="DH43" s="105"/>
      <c r="DI43" s="105"/>
      <c r="DJ43" s="110"/>
    </row>
    <row r="44" spans="1:114" ht="14.25" customHeight="1" x14ac:dyDescent="0.3">
      <c r="A44" s="102"/>
      <c r="B44" s="105"/>
      <c r="C44" s="18" t="s">
        <v>45</v>
      </c>
      <c r="D44" s="105"/>
      <c r="E44" s="19">
        <v>3827</v>
      </c>
      <c r="F44" s="105"/>
      <c r="G44" s="105"/>
      <c r="H44" s="105"/>
      <c r="I44" s="105"/>
      <c r="J44" s="110"/>
      <c r="K44" s="18" t="s">
        <v>45</v>
      </c>
      <c r="L44" s="105"/>
      <c r="M44" s="19">
        <v>3836</v>
      </c>
      <c r="N44" s="105"/>
      <c r="O44" s="105"/>
      <c r="P44" s="105"/>
      <c r="Q44" s="105"/>
      <c r="R44" s="110"/>
      <c r="T44" s="117"/>
      <c r="U44" s="102"/>
      <c r="V44" s="105"/>
      <c r="W44" s="18" t="s">
        <v>45</v>
      </c>
      <c r="X44" s="105"/>
      <c r="Y44" s="19"/>
      <c r="Z44" s="105"/>
      <c r="AA44" s="105"/>
      <c r="AB44" s="105"/>
      <c r="AC44" s="105"/>
      <c r="AD44" s="110"/>
      <c r="AE44" s="18" t="s">
        <v>45</v>
      </c>
      <c r="AF44" s="105"/>
      <c r="AG44" s="19"/>
      <c r="AH44" s="105"/>
      <c r="AI44" s="105"/>
      <c r="AJ44" s="105"/>
      <c r="AK44" s="105"/>
      <c r="AL44" s="110"/>
      <c r="AN44" s="102"/>
      <c r="AO44" s="105"/>
      <c r="AP44" s="18" t="s">
        <v>45</v>
      </c>
      <c r="AQ44" s="105"/>
      <c r="AR44" s="19"/>
      <c r="AS44" s="105"/>
      <c r="AT44" s="105"/>
      <c r="AU44" s="105"/>
      <c r="AV44" s="105"/>
      <c r="AW44" s="110"/>
      <c r="AX44" s="18" t="s">
        <v>45</v>
      </c>
      <c r="AY44" s="105"/>
      <c r="AZ44" s="19"/>
      <c r="BA44" s="105"/>
      <c r="BB44" s="105"/>
      <c r="BC44" s="105"/>
      <c r="BD44" s="105"/>
      <c r="BE44" s="110"/>
      <c r="BG44" s="102"/>
      <c r="BH44" s="105"/>
      <c r="BI44" s="18" t="s">
        <v>45</v>
      </c>
      <c r="BJ44" s="105"/>
      <c r="BK44" s="19"/>
      <c r="BL44" s="105"/>
      <c r="BM44" s="105"/>
      <c r="BN44" s="105"/>
      <c r="BO44" s="105"/>
      <c r="BP44" s="110"/>
      <c r="BQ44" s="18" t="s">
        <v>45</v>
      </c>
      <c r="BR44" s="105"/>
      <c r="BS44" s="19"/>
      <c r="BT44" s="105"/>
      <c r="BU44" s="105"/>
      <c r="BV44" s="105"/>
      <c r="BW44" s="105"/>
      <c r="BX44" s="110"/>
      <c r="BZ44" s="102"/>
      <c r="CA44" s="105"/>
      <c r="CB44" s="18" t="s">
        <v>45</v>
      </c>
      <c r="CC44" s="105"/>
      <c r="CD44" s="19"/>
      <c r="CE44" s="105"/>
      <c r="CF44" s="105"/>
      <c r="CG44" s="105"/>
      <c r="CH44" s="105"/>
      <c r="CI44" s="110"/>
      <c r="CJ44" s="18" t="s">
        <v>45</v>
      </c>
      <c r="CK44" s="105"/>
      <c r="CL44" s="19"/>
      <c r="CM44" s="105"/>
      <c r="CN44" s="105"/>
      <c r="CO44" s="105"/>
      <c r="CP44" s="105"/>
      <c r="CQ44" s="110"/>
      <c r="CS44" s="102"/>
      <c r="CT44" s="105"/>
      <c r="CU44" s="18" t="s">
        <v>45</v>
      </c>
      <c r="CV44" s="105"/>
      <c r="CW44" s="19"/>
      <c r="CX44" s="105"/>
      <c r="CY44" s="105"/>
      <c r="CZ44" s="105"/>
      <c r="DA44" s="105"/>
      <c r="DB44" s="110"/>
      <c r="DC44" s="18" t="s">
        <v>45</v>
      </c>
      <c r="DD44" s="105"/>
      <c r="DE44" s="19"/>
      <c r="DF44" s="105"/>
      <c r="DG44" s="105"/>
      <c r="DH44" s="105"/>
      <c r="DI44" s="105"/>
      <c r="DJ44" s="110"/>
    </row>
    <row r="45" spans="1:114" ht="14.25" customHeight="1" x14ac:dyDescent="0.3">
      <c r="A45" s="102"/>
      <c r="B45" s="105"/>
      <c r="C45" s="18" t="s">
        <v>46</v>
      </c>
      <c r="D45" s="105"/>
      <c r="E45" s="19">
        <v>3828</v>
      </c>
      <c r="F45" s="105"/>
      <c r="G45" s="105"/>
      <c r="H45" s="105"/>
      <c r="I45" s="105"/>
      <c r="J45" s="110"/>
      <c r="K45" s="18" t="s">
        <v>46</v>
      </c>
      <c r="L45" s="105"/>
      <c r="M45" s="19">
        <v>3831</v>
      </c>
      <c r="N45" s="105"/>
      <c r="O45" s="105"/>
      <c r="P45" s="105"/>
      <c r="Q45" s="105"/>
      <c r="R45" s="110"/>
      <c r="T45" s="117"/>
      <c r="U45" s="102"/>
      <c r="V45" s="105"/>
      <c r="W45" s="18" t="s">
        <v>46</v>
      </c>
      <c r="X45" s="105"/>
      <c r="Y45" s="19"/>
      <c r="Z45" s="105"/>
      <c r="AA45" s="105"/>
      <c r="AB45" s="105"/>
      <c r="AC45" s="105"/>
      <c r="AD45" s="110"/>
      <c r="AE45" s="18" t="s">
        <v>46</v>
      </c>
      <c r="AF45" s="105"/>
      <c r="AG45" s="19"/>
      <c r="AH45" s="105"/>
      <c r="AI45" s="105"/>
      <c r="AJ45" s="105"/>
      <c r="AK45" s="105"/>
      <c r="AL45" s="110"/>
      <c r="AN45" s="102"/>
      <c r="AO45" s="105"/>
      <c r="AP45" s="18" t="s">
        <v>46</v>
      </c>
      <c r="AQ45" s="105"/>
      <c r="AR45" s="19"/>
      <c r="AS45" s="105"/>
      <c r="AT45" s="105"/>
      <c r="AU45" s="105"/>
      <c r="AV45" s="105"/>
      <c r="AW45" s="110"/>
      <c r="AX45" s="18" t="s">
        <v>46</v>
      </c>
      <c r="AY45" s="105"/>
      <c r="AZ45" s="19"/>
      <c r="BA45" s="105"/>
      <c r="BB45" s="105"/>
      <c r="BC45" s="105"/>
      <c r="BD45" s="105"/>
      <c r="BE45" s="110"/>
      <c r="BG45" s="102"/>
      <c r="BH45" s="105"/>
      <c r="BI45" s="18" t="s">
        <v>46</v>
      </c>
      <c r="BJ45" s="105"/>
      <c r="BK45" s="19"/>
      <c r="BL45" s="105"/>
      <c r="BM45" s="105"/>
      <c r="BN45" s="105"/>
      <c r="BO45" s="105"/>
      <c r="BP45" s="110"/>
      <c r="BQ45" s="18" t="s">
        <v>46</v>
      </c>
      <c r="BR45" s="105"/>
      <c r="BS45" s="19"/>
      <c r="BT45" s="105"/>
      <c r="BU45" s="105"/>
      <c r="BV45" s="105"/>
      <c r="BW45" s="105"/>
      <c r="BX45" s="110"/>
      <c r="BZ45" s="102"/>
      <c r="CA45" s="105"/>
      <c r="CB45" s="18" t="s">
        <v>46</v>
      </c>
      <c r="CC45" s="105"/>
      <c r="CD45" s="19"/>
      <c r="CE45" s="105"/>
      <c r="CF45" s="105"/>
      <c r="CG45" s="105"/>
      <c r="CH45" s="105"/>
      <c r="CI45" s="110"/>
      <c r="CJ45" s="18" t="s">
        <v>46</v>
      </c>
      <c r="CK45" s="105"/>
      <c r="CL45" s="19"/>
      <c r="CM45" s="105"/>
      <c r="CN45" s="105"/>
      <c r="CO45" s="105"/>
      <c r="CP45" s="105"/>
      <c r="CQ45" s="110"/>
      <c r="CS45" s="102"/>
      <c r="CT45" s="105"/>
      <c r="CU45" s="18" t="s">
        <v>46</v>
      </c>
      <c r="CV45" s="105"/>
      <c r="CW45" s="19"/>
      <c r="CX45" s="105"/>
      <c r="CY45" s="105"/>
      <c r="CZ45" s="105"/>
      <c r="DA45" s="105"/>
      <c r="DB45" s="110"/>
      <c r="DC45" s="18" t="s">
        <v>46</v>
      </c>
      <c r="DD45" s="105"/>
      <c r="DE45" s="19"/>
      <c r="DF45" s="105"/>
      <c r="DG45" s="105"/>
      <c r="DH45" s="105"/>
      <c r="DI45" s="105"/>
      <c r="DJ45" s="110"/>
    </row>
    <row r="46" spans="1:114" ht="14.25" customHeight="1" x14ac:dyDescent="0.3">
      <c r="A46" s="102"/>
      <c r="B46" s="105"/>
      <c r="C46" s="18" t="s">
        <v>47</v>
      </c>
      <c r="D46" s="105"/>
      <c r="E46" s="19">
        <v>3828</v>
      </c>
      <c r="F46" s="105"/>
      <c r="G46" s="105"/>
      <c r="H46" s="105"/>
      <c r="I46" s="105"/>
      <c r="J46" s="110"/>
      <c r="K46" s="18" t="s">
        <v>47</v>
      </c>
      <c r="L46" s="105"/>
      <c r="M46" s="19">
        <v>3837</v>
      </c>
      <c r="N46" s="105"/>
      <c r="O46" s="105"/>
      <c r="P46" s="105"/>
      <c r="Q46" s="105"/>
      <c r="R46" s="110"/>
      <c r="T46" s="117"/>
      <c r="U46" s="102"/>
      <c r="V46" s="105"/>
      <c r="W46" s="18" t="s">
        <v>47</v>
      </c>
      <c r="X46" s="105"/>
      <c r="Y46" s="19"/>
      <c r="Z46" s="105"/>
      <c r="AA46" s="105"/>
      <c r="AB46" s="105"/>
      <c r="AC46" s="105"/>
      <c r="AD46" s="110"/>
      <c r="AE46" s="18" t="s">
        <v>47</v>
      </c>
      <c r="AF46" s="105"/>
      <c r="AG46" s="19"/>
      <c r="AH46" s="105"/>
      <c r="AI46" s="105"/>
      <c r="AJ46" s="105"/>
      <c r="AK46" s="105"/>
      <c r="AL46" s="110"/>
      <c r="AN46" s="102"/>
      <c r="AO46" s="105"/>
      <c r="AP46" s="18" t="s">
        <v>47</v>
      </c>
      <c r="AQ46" s="105"/>
      <c r="AR46" s="19"/>
      <c r="AS46" s="105"/>
      <c r="AT46" s="105"/>
      <c r="AU46" s="105"/>
      <c r="AV46" s="105"/>
      <c r="AW46" s="110"/>
      <c r="AX46" s="18" t="s">
        <v>47</v>
      </c>
      <c r="AY46" s="105"/>
      <c r="AZ46" s="19"/>
      <c r="BA46" s="105"/>
      <c r="BB46" s="105"/>
      <c r="BC46" s="105"/>
      <c r="BD46" s="105"/>
      <c r="BE46" s="110"/>
      <c r="BG46" s="102"/>
      <c r="BH46" s="105"/>
      <c r="BI46" s="18" t="s">
        <v>47</v>
      </c>
      <c r="BJ46" s="105"/>
      <c r="BK46" s="19"/>
      <c r="BL46" s="105"/>
      <c r="BM46" s="105"/>
      <c r="BN46" s="105"/>
      <c r="BO46" s="105"/>
      <c r="BP46" s="110"/>
      <c r="BQ46" s="18" t="s">
        <v>47</v>
      </c>
      <c r="BR46" s="105"/>
      <c r="BS46" s="19"/>
      <c r="BT46" s="105"/>
      <c r="BU46" s="105"/>
      <c r="BV46" s="105"/>
      <c r="BW46" s="105"/>
      <c r="BX46" s="110"/>
      <c r="BZ46" s="102"/>
      <c r="CA46" s="105"/>
      <c r="CB46" s="18" t="s">
        <v>47</v>
      </c>
      <c r="CC46" s="105"/>
      <c r="CD46" s="19"/>
      <c r="CE46" s="105"/>
      <c r="CF46" s="105"/>
      <c r="CG46" s="105"/>
      <c r="CH46" s="105"/>
      <c r="CI46" s="110"/>
      <c r="CJ46" s="18" t="s">
        <v>47</v>
      </c>
      <c r="CK46" s="105"/>
      <c r="CL46" s="19"/>
      <c r="CM46" s="105"/>
      <c r="CN46" s="105"/>
      <c r="CO46" s="105"/>
      <c r="CP46" s="105"/>
      <c r="CQ46" s="110"/>
      <c r="CS46" s="102"/>
      <c r="CT46" s="105"/>
      <c r="CU46" s="18" t="s">
        <v>47</v>
      </c>
      <c r="CV46" s="105"/>
      <c r="CW46" s="19"/>
      <c r="CX46" s="105"/>
      <c r="CY46" s="105"/>
      <c r="CZ46" s="105"/>
      <c r="DA46" s="105"/>
      <c r="DB46" s="110"/>
      <c r="DC46" s="18" t="s">
        <v>47</v>
      </c>
      <c r="DD46" s="105"/>
      <c r="DE46" s="19"/>
      <c r="DF46" s="105"/>
      <c r="DG46" s="105"/>
      <c r="DH46" s="105"/>
      <c r="DI46" s="105"/>
      <c r="DJ46" s="110"/>
    </row>
    <row r="47" spans="1:114" ht="14.25" customHeight="1" x14ac:dyDescent="0.3">
      <c r="A47" s="103"/>
      <c r="B47" s="106"/>
      <c r="C47" s="21" t="s">
        <v>48</v>
      </c>
      <c r="D47" s="106"/>
      <c r="E47" s="22">
        <v>3849</v>
      </c>
      <c r="F47" s="106"/>
      <c r="G47" s="106"/>
      <c r="H47" s="106"/>
      <c r="I47" s="106"/>
      <c r="J47" s="111"/>
      <c r="K47" s="21" t="s">
        <v>48</v>
      </c>
      <c r="L47" s="106"/>
      <c r="M47" s="22">
        <v>3836</v>
      </c>
      <c r="N47" s="106"/>
      <c r="O47" s="106"/>
      <c r="P47" s="106"/>
      <c r="Q47" s="106"/>
      <c r="R47" s="111"/>
      <c r="T47" s="117"/>
      <c r="U47" s="103"/>
      <c r="V47" s="106"/>
      <c r="W47" s="21" t="s">
        <v>48</v>
      </c>
      <c r="X47" s="106"/>
      <c r="Y47" s="22"/>
      <c r="Z47" s="106"/>
      <c r="AA47" s="106"/>
      <c r="AB47" s="106"/>
      <c r="AC47" s="106"/>
      <c r="AD47" s="111"/>
      <c r="AE47" s="21" t="s">
        <v>48</v>
      </c>
      <c r="AF47" s="106"/>
      <c r="AG47" s="22"/>
      <c r="AH47" s="106"/>
      <c r="AI47" s="106"/>
      <c r="AJ47" s="106"/>
      <c r="AK47" s="106"/>
      <c r="AL47" s="111"/>
      <c r="AN47" s="103"/>
      <c r="AO47" s="106"/>
      <c r="AP47" s="21" t="s">
        <v>48</v>
      </c>
      <c r="AQ47" s="106"/>
      <c r="AR47" s="22"/>
      <c r="AS47" s="106"/>
      <c r="AT47" s="106"/>
      <c r="AU47" s="106"/>
      <c r="AV47" s="106"/>
      <c r="AW47" s="111"/>
      <c r="AX47" s="21" t="s">
        <v>48</v>
      </c>
      <c r="AY47" s="106"/>
      <c r="AZ47" s="22"/>
      <c r="BA47" s="106"/>
      <c r="BB47" s="106"/>
      <c r="BC47" s="106"/>
      <c r="BD47" s="106"/>
      <c r="BE47" s="111"/>
      <c r="BG47" s="103"/>
      <c r="BH47" s="106"/>
      <c r="BI47" s="21" t="s">
        <v>48</v>
      </c>
      <c r="BJ47" s="106"/>
      <c r="BK47" s="22"/>
      <c r="BL47" s="106"/>
      <c r="BM47" s="106"/>
      <c r="BN47" s="106"/>
      <c r="BO47" s="106"/>
      <c r="BP47" s="111"/>
      <c r="BQ47" s="21" t="s">
        <v>48</v>
      </c>
      <c r="BR47" s="106"/>
      <c r="BS47" s="22"/>
      <c r="BT47" s="106"/>
      <c r="BU47" s="106"/>
      <c r="BV47" s="106"/>
      <c r="BW47" s="106"/>
      <c r="BX47" s="111"/>
      <c r="BZ47" s="103"/>
      <c r="CA47" s="106"/>
      <c r="CB47" s="21" t="s">
        <v>48</v>
      </c>
      <c r="CC47" s="106"/>
      <c r="CD47" s="22"/>
      <c r="CE47" s="106"/>
      <c r="CF47" s="106"/>
      <c r="CG47" s="106"/>
      <c r="CH47" s="106"/>
      <c r="CI47" s="111"/>
      <c r="CJ47" s="21" t="s">
        <v>48</v>
      </c>
      <c r="CK47" s="106"/>
      <c r="CL47" s="22"/>
      <c r="CM47" s="106"/>
      <c r="CN47" s="106"/>
      <c r="CO47" s="106"/>
      <c r="CP47" s="106"/>
      <c r="CQ47" s="111"/>
      <c r="CS47" s="103"/>
      <c r="CT47" s="106"/>
      <c r="CU47" s="21" t="s">
        <v>48</v>
      </c>
      <c r="CV47" s="106"/>
      <c r="CW47" s="22"/>
      <c r="CX47" s="106"/>
      <c r="CY47" s="106"/>
      <c r="CZ47" s="106"/>
      <c r="DA47" s="106"/>
      <c r="DB47" s="111"/>
      <c r="DC47" s="21" t="s">
        <v>48</v>
      </c>
      <c r="DD47" s="106"/>
      <c r="DE47" s="22"/>
      <c r="DF47" s="106"/>
      <c r="DG47" s="106"/>
      <c r="DH47" s="106"/>
      <c r="DI47" s="106"/>
      <c r="DJ47" s="111"/>
    </row>
    <row r="48" spans="1:114" ht="14.25" customHeight="1" x14ac:dyDescent="0.3">
      <c r="A48" s="66"/>
      <c r="B48" s="14"/>
      <c r="C48" s="26"/>
      <c r="D48" s="14"/>
      <c r="E48" s="27" t="s">
        <v>93</v>
      </c>
      <c r="F48" s="14"/>
      <c r="G48" s="14"/>
      <c r="H48" s="14"/>
      <c r="I48" s="14"/>
      <c r="J48" s="15"/>
      <c r="K48" s="26"/>
      <c r="L48" s="14"/>
      <c r="M48" s="27" t="s">
        <v>94</v>
      </c>
      <c r="N48" s="14"/>
      <c r="O48" s="14"/>
      <c r="P48" s="14"/>
      <c r="Q48" s="14"/>
      <c r="R48" s="15"/>
      <c r="T48" s="16"/>
      <c r="U48" s="66"/>
      <c r="V48" s="14"/>
      <c r="W48" s="26"/>
      <c r="X48" s="14"/>
      <c r="Y48" s="27"/>
      <c r="Z48" s="14"/>
      <c r="AA48" s="14"/>
      <c r="AB48" s="14"/>
      <c r="AC48" s="14"/>
      <c r="AD48" s="15"/>
      <c r="AE48" s="26"/>
      <c r="AF48" s="14"/>
      <c r="AG48" s="27"/>
      <c r="AH48" s="14"/>
      <c r="AI48" s="14"/>
      <c r="AJ48" s="14"/>
      <c r="AK48" s="14"/>
      <c r="AL48" s="15"/>
      <c r="AN48" s="66"/>
      <c r="AO48" s="14"/>
      <c r="AP48" s="26"/>
      <c r="AQ48" s="14"/>
      <c r="AR48" s="27"/>
      <c r="AS48" s="14"/>
      <c r="AT48" s="14"/>
      <c r="AU48" s="14"/>
      <c r="AV48" s="14"/>
      <c r="AW48" s="15"/>
      <c r="AX48" s="26"/>
      <c r="AY48" s="14"/>
      <c r="AZ48" s="27"/>
      <c r="BA48" s="14"/>
      <c r="BB48" s="14"/>
      <c r="BC48" s="14"/>
      <c r="BD48" s="14"/>
      <c r="BE48" s="15"/>
      <c r="BG48" s="66"/>
      <c r="BH48" s="14"/>
      <c r="BI48" s="26"/>
      <c r="BJ48" s="14"/>
      <c r="BK48" s="27"/>
      <c r="BL48" s="14"/>
      <c r="BM48" s="14"/>
      <c r="BN48" s="14"/>
      <c r="BO48" s="14"/>
      <c r="BP48" s="15"/>
      <c r="BQ48" s="26"/>
      <c r="BR48" s="14"/>
      <c r="BS48" s="27"/>
      <c r="BT48" s="14"/>
      <c r="BU48" s="14"/>
      <c r="BV48" s="14"/>
      <c r="BW48" s="14"/>
      <c r="BX48" s="15"/>
      <c r="BZ48" s="66"/>
      <c r="CA48" s="14"/>
      <c r="CB48" s="26"/>
      <c r="CC48" s="14"/>
      <c r="CD48" s="27"/>
      <c r="CE48" s="14"/>
      <c r="CF48" s="14"/>
      <c r="CG48" s="14"/>
      <c r="CH48" s="14"/>
      <c r="CI48" s="15"/>
      <c r="CJ48" s="26"/>
      <c r="CK48" s="14"/>
      <c r="CL48" s="27"/>
      <c r="CM48" s="14"/>
      <c r="CN48" s="14"/>
      <c r="CO48" s="14"/>
      <c r="CP48" s="14"/>
      <c r="CQ48" s="15"/>
      <c r="CS48" s="66"/>
      <c r="CT48" s="14"/>
      <c r="CU48" s="26"/>
      <c r="CV48" s="14"/>
      <c r="CW48" s="27"/>
      <c r="CX48" s="14"/>
      <c r="CY48" s="14"/>
      <c r="CZ48" s="14"/>
      <c r="DA48" s="14"/>
      <c r="DB48" s="15"/>
      <c r="DC48" s="26"/>
      <c r="DD48" s="14"/>
      <c r="DE48" s="27"/>
      <c r="DF48" s="14"/>
      <c r="DG48" s="14"/>
      <c r="DH48" s="14"/>
      <c r="DI48" s="14"/>
      <c r="DJ48" s="15"/>
    </row>
    <row r="49" spans="1:114" ht="14.25" customHeight="1" x14ac:dyDescent="0.3">
      <c r="A49" s="101">
        <v>4</v>
      </c>
      <c r="B49" s="104" t="s">
        <v>28</v>
      </c>
      <c r="C49" s="12" t="s">
        <v>29</v>
      </c>
      <c r="D49" s="104" t="s">
        <v>95</v>
      </c>
      <c r="E49" s="60">
        <v>3720</v>
      </c>
      <c r="F49" s="108">
        <v>0.81</v>
      </c>
      <c r="G49" s="104">
        <v>43</v>
      </c>
      <c r="H49" s="104">
        <v>30</v>
      </c>
      <c r="I49" s="108">
        <v>1</v>
      </c>
      <c r="J49" s="135" t="s">
        <v>96</v>
      </c>
      <c r="K49" s="12" t="s">
        <v>29</v>
      </c>
      <c r="L49" s="104" t="s">
        <v>97</v>
      </c>
      <c r="M49" s="13">
        <v>3663</v>
      </c>
      <c r="N49" s="112">
        <v>0.75</v>
      </c>
      <c r="O49" s="104">
        <v>47</v>
      </c>
      <c r="P49" s="104">
        <v>30</v>
      </c>
      <c r="Q49" s="108">
        <v>1</v>
      </c>
      <c r="R49" s="135" t="s">
        <v>96</v>
      </c>
      <c r="T49" s="116"/>
      <c r="U49" s="101">
        <v>4</v>
      </c>
      <c r="V49" s="104" t="s">
        <v>28</v>
      </c>
      <c r="W49" s="12" t="s">
        <v>29</v>
      </c>
      <c r="X49" s="104"/>
      <c r="Y49" s="60"/>
      <c r="Z49" s="108"/>
      <c r="AA49" s="104"/>
      <c r="AB49" s="104"/>
      <c r="AC49" s="108">
        <v>1</v>
      </c>
      <c r="AD49" s="135"/>
      <c r="AE49" s="12" t="s">
        <v>29</v>
      </c>
      <c r="AF49" s="104"/>
      <c r="AG49" s="13"/>
      <c r="AH49" s="112"/>
      <c r="AI49" s="104"/>
      <c r="AJ49" s="104"/>
      <c r="AK49" s="108">
        <v>1</v>
      </c>
      <c r="AL49" s="135"/>
      <c r="AN49" s="101">
        <v>4</v>
      </c>
      <c r="AO49" s="104" t="s">
        <v>28</v>
      </c>
      <c r="AP49" s="12" t="s">
        <v>29</v>
      </c>
      <c r="AQ49" s="104"/>
      <c r="AR49" s="60"/>
      <c r="AS49" s="108"/>
      <c r="AT49" s="104"/>
      <c r="AU49" s="104"/>
      <c r="AV49" s="108">
        <v>1</v>
      </c>
      <c r="AW49" s="135"/>
      <c r="AX49" s="12" t="s">
        <v>29</v>
      </c>
      <c r="AY49" s="104"/>
      <c r="AZ49" s="13"/>
      <c r="BA49" s="112"/>
      <c r="BB49" s="104"/>
      <c r="BC49" s="104"/>
      <c r="BD49" s="108">
        <v>1</v>
      </c>
      <c r="BE49" s="135"/>
      <c r="BG49" s="101">
        <v>4</v>
      </c>
      <c r="BH49" s="104" t="s">
        <v>28</v>
      </c>
      <c r="BI49" s="12" t="s">
        <v>29</v>
      </c>
      <c r="BJ49" s="104"/>
      <c r="BK49" s="60"/>
      <c r="BL49" s="108"/>
      <c r="BM49" s="104"/>
      <c r="BN49" s="104"/>
      <c r="BO49" s="108">
        <v>1</v>
      </c>
      <c r="BP49" s="135"/>
      <c r="BQ49" s="12" t="s">
        <v>29</v>
      </c>
      <c r="BR49" s="104"/>
      <c r="BS49" s="13"/>
      <c r="BT49" s="112"/>
      <c r="BU49" s="104"/>
      <c r="BV49" s="104"/>
      <c r="BW49" s="108">
        <v>1</v>
      </c>
      <c r="BX49" s="135"/>
      <c r="BZ49" s="101">
        <v>4</v>
      </c>
      <c r="CA49" s="104" t="s">
        <v>28</v>
      </c>
      <c r="CB49" s="12" t="s">
        <v>29</v>
      </c>
      <c r="CC49" s="104"/>
      <c r="CD49" s="60"/>
      <c r="CE49" s="108"/>
      <c r="CF49" s="104"/>
      <c r="CG49" s="104"/>
      <c r="CH49" s="108">
        <v>1</v>
      </c>
      <c r="CI49" s="135"/>
      <c r="CJ49" s="12" t="s">
        <v>29</v>
      </c>
      <c r="CK49" s="104"/>
      <c r="CL49" s="13"/>
      <c r="CM49" s="112"/>
      <c r="CN49" s="104"/>
      <c r="CO49" s="104"/>
      <c r="CP49" s="108">
        <v>1</v>
      </c>
      <c r="CQ49" s="135"/>
      <c r="CS49" s="101">
        <v>4</v>
      </c>
      <c r="CT49" s="104" t="s">
        <v>28</v>
      </c>
      <c r="CU49" s="12" t="s">
        <v>29</v>
      </c>
      <c r="CV49" s="104"/>
      <c r="CW49" s="60"/>
      <c r="CX49" s="108"/>
      <c r="CY49" s="104"/>
      <c r="CZ49" s="104"/>
      <c r="DA49" s="108">
        <v>1</v>
      </c>
      <c r="DB49" s="135"/>
      <c r="DC49" s="12" t="s">
        <v>29</v>
      </c>
      <c r="DD49" s="104"/>
      <c r="DE49" s="13"/>
      <c r="DF49" s="112"/>
      <c r="DG49" s="104"/>
      <c r="DH49" s="104"/>
      <c r="DI49" s="108">
        <v>1</v>
      </c>
      <c r="DJ49" s="135"/>
    </row>
    <row r="50" spans="1:114" ht="14.25" customHeight="1" x14ac:dyDescent="0.3">
      <c r="A50" s="102"/>
      <c r="B50" s="105"/>
      <c r="C50" s="18" t="s">
        <v>37</v>
      </c>
      <c r="D50" s="105"/>
      <c r="E50" s="54">
        <v>3725</v>
      </c>
      <c r="F50" s="105"/>
      <c r="G50" s="105"/>
      <c r="H50" s="105"/>
      <c r="I50" s="105"/>
      <c r="J50" s="110"/>
      <c r="K50" s="18" t="s">
        <v>37</v>
      </c>
      <c r="L50" s="105"/>
      <c r="M50" s="19">
        <v>3663</v>
      </c>
      <c r="N50" s="105"/>
      <c r="O50" s="105"/>
      <c r="P50" s="105"/>
      <c r="Q50" s="105"/>
      <c r="R50" s="110"/>
      <c r="T50" s="117"/>
      <c r="U50" s="102"/>
      <c r="V50" s="105"/>
      <c r="W50" s="18" t="s">
        <v>37</v>
      </c>
      <c r="X50" s="105"/>
      <c r="Y50" s="54"/>
      <c r="Z50" s="105"/>
      <c r="AA50" s="105"/>
      <c r="AB50" s="105"/>
      <c r="AC50" s="105"/>
      <c r="AD50" s="110"/>
      <c r="AE50" s="18" t="s">
        <v>37</v>
      </c>
      <c r="AF50" s="105"/>
      <c r="AG50" s="19"/>
      <c r="AH50" s="105"/>
      <c r="AI50" s="105"/>
      <c r="AJ50" s="105"/>
      <c r="AK50" s="105"/>
      <c r="AL50" s="110"/>
      <c r="AN50" s="102"/>
      <c r="AO50" s="105"/>
      <c r="AP50" s="18" t="s">
        <v>37</v>
      </c>
      <c r="AQ50" s="105"/>
      <c r="AR50" s="54"/>
      <c r="AS50" s="105"/>
      <c r="AT50" s="105"/>
      <c r="AU50" s="105"/>
      <c r="AV50" s="105"/>
      <c r="AW50" s="110"/>
      <c r="AX50" s="18" t="s">
        <v>37</v>
      </c>
      <c r="AY50" s="105"/>
      <c r="AZ50" s="19"/>
      <c r="BA50" s="105"/>
      <c r="BB50" s="105"/>
      <c r="BC50" s="105"/>
      <c r="BD50" s="105"/>
      <c r="BE50" s="110"/>
      <c r="BG50" s="102"/>
      <c r="BH50" s="105"/>
      <c r="BI50" s="18" t="s">
        <v>37</v>
      </c>
      <c r="BJ50" s="105"/>
      <c r="BK50" s="54"/>
      <c r="BL50" s="105"/>
      <c r="BM50" s="105"/>
      <c r="BN50" s="105"/>
      <c r="BO50" s="105"/>
      <c r="BP50" s="110"/>
      <c r="BQ50" s="18" t="s">
        <v>37</v>
      </c>
      <c r="BR50" s="105"/>
      <c r="BS50" s="19"/>
      <c r="BT50" s="105"/>
      <c r="BU50" s="105"/>
      <c r="BV50" s="105"/>
      <c r="BW50" s="105"/>
      <c r="BX50" s="110"/>
      <c r="BZ50" s="102"/>
      <c r="CA50" s="105"/>
      <c r="CB50" s="18" t="s">
        <v>37</v>
      </c>
      <c r="CC50" s="105"/>
      <c r="CD50" s="54"/>
      <c r="CE50" s="105"/>
      <c r="CF50" s="105"/>
      <c r="CG50" s="105"/>
      <c r="CH50" s="105"/>
      <c r="CI50" s="110"/>
      <c r="CJ50" s="18" t="s">
        <v>37</v>
      </c>
      <c r="CK50" s="105"/>
      <c r="CL50" s="19"/>
      <c r="CM50" s="105"/>
      <c r="CN50" s="105"/>
      <c r="CO50" s="105"/>
      <c r="CP50" s="105"/>
      <c r="CQ50" s="110"/>
      <c r="CS50" s="102"/>
      <c r="CT50" s="105"/>
      <c r="CU50" s="18" t="s">
        <v>37</v>
      </c>
      <c r="CV50" s="105"/>
      <c r="CW50" s="54"/>
      <c r="CX50" s="105"/>
      <c r="CY50" s="105"/>
      <c r="CZ50" s="105"/>
      <c r="DA50" s="105"/>
      <c r="DB50" s="110"/>
      <c r="DC50" s="18" t="s">
        <v>37</v>
      </c>
      <c r="DD50" s="105"/>
      <c r="DE50" s="19"/>
      <c r="DF50" s="105"/>
      <c r="DG50" s="105"/>
      <c r="DH50" s="105"/>
      <c r="DI50" s="105"/>
      <c r="DJ50" s="110"/>
    </row>
    <row r="51" spans="1:114" ht="14.25" customHeight="1" x14ac:dyDescent="0.3">
      <c r="A51" s="102"/>
      <c r="B51" s="105"/>
      <c r="C51" s="18" t="s">
        <v>38</v>
      </c>
      <c r="D51" s="105"/>
      <c r="E51" s="54">
        <v>3718</v>
      </c>
      <c r="F51" s="105"/>
      <c r="G51" s="105"/>
      <c r="H51" s="105"/>
      <c r="I51" s="105"/>
      <c r="J51" s="110"/>
      <c r="K51" s="18" t="s">
        <v>38</v>
      </c>
      <c r="L51" s="105"/>
      <c r="M51" s="19">
        <v>3680</v>
      </c>
      <c r="N51" s="105"/>
      <c r="O51" s="105"/>
      <c r="P51" s="105"/>
      <c r="Q51" s="105"/>
      <c r="R51" s="110"/>
      <c r="T51" s="117"/>
      <c r="U51" s="102"/>
      <c r="V51" s="105"/>
      <c r="W51" s="18" t="s">
        <v>38</v>
      </c>
      <c r="X51" s="105"/>
      <c r="Y51" s="54"/>
      <c r="Z51" s="105"/>
      <c r="AA51" s="105"/>
      <c r="AB51" s="105"/>
      <c r="AC51" s="105"/>
      <c r="AD51" s="110"/>
      <c r="AE51" s="18" t="s">
        <v>38</v>
      </c>
      <c r="AF51" s="105"/>
      <c r="AG51" s="19"/>
      <c r="AH51" s="105"/>
      <c r="AI51" s="105"/>
      <c r="AJ51" s="105"/>
      <c r="AK51" s="105"/>
      <c r="AL51" s="110"/>
      <c r="AN51" s="102"/>
      <c r="AO51" s="105"/>
      <c r="AP51" s="18" t="s">
        <v>38</v>
      </c>
      <c r="AQ51" s="105"/>
      <c r="AR51" s="54"/>
      <c r="AS51" s="105"/>
      <c r="AT51" s="105"/>
      <c r="AU51" s="105"/>
      <c r="AV51" s="105"/>
      <c r="AW51" s="110"/>
      <c r="AX51" s="18" t="s">
        <v>38</v>
      </c>
      <c r="AY51" s="105"/>
      <c r="AZ51" s="19"/>
      <c r="BA51" s="105"/>
      <c r="BB51" s="105"/>
      <c r="BC51" s="105"/>
      <c r="BD51" s="105"/>
      <c r="BE51" s="110"/>
      <c r="BG51" s="102"/>
      <c r="BH51" s="105"/>
      <c r="BI51" s="18" t="s">
        <v>38</v>
      </c>
      <c r="BJ51" s="105"/>
      <c r="BK51" s="54"/>
      <c r="BL51" s="105"/>
      <c r="BM51" s="105"/>
      <c r="BN51" s="105"/>
      <c r="BO51" s="105"/>
      <c r="BP51" s="110"/>
      <c r="BQ51" s="18" t="s">
        <v>38</v>
      </c>
      <c r="BR51" s="105"/>
      <c r="BS51" s="19"/>
      <c r="BT51" s="105"/>
      <c r="BU51" s="105"/>
      <c r="BV51" s="105"/>
      <c r="BW51" s="105"/>
      <c r="BX51" s="110"/>
      <c r="BZ51" s="102"/>
      <c r="CA51" s="105"/>
      <c r="CB51" s="18" t="s">
        <v>38</v>
      </c>
      <c r="CC51" s="105"/>
      <c r="CD51" s="54"/>
      <c r="CE51" s="105"/>
      <c r="CF51" s="105"/>
      <c r="CG51" s="105"/>
      <c r="CH51" s="105"/>
      <c r="CI51" s="110"/>
      <c r="CJ51" s="18" t="s">
        <v>38</v>
      </c>
      <c r="CK51" s="105"/>
      <c r="CL51" s="19"/>
      <c r="CM51" s="105"/>
      <c r="CN51" s="105"/>
      <c r="CO51" s="105"/>
      <c r="CP51" s="105"/>
      <c r="CQ51" s="110"/>
      <c r="CS51" s="102"/>
      <c r="CT51" s="105"/>
      <c r="CU51" s="18" t="s">
        <v>38</v>
      </c>
      <c r="CV51" s="105"/>
      <c r="CW51" s="54"/>
      <c r="CX51" s="105"/>
      <c r="CY51" s="105"/>
      <c r="CZ51" s="105"/>
      <c r="DA51" s="105"/>
      <c r="DB51" s="110"/>
      <c r="DC51" s="18" t="s">
        <v>38</v>
      </c>
      <c r="DD51" s="105"/>
      <c r="DE51" s="19"/>
      <c r="DF51" s="105"/>
      <c r="DG51" s="105"/>
      <c r="DH51" s="105"/>
      <c r="DI51" s="105"/>
      <c r="DJ51" s="110"/>
    </row>
    <row r="52" spans="1:114" ht="14.25" customHeight="1" x14ac:dyDescent="0.3">
      <c r="A52" s="102"/>
      <c r="B52" s="105"/>
      <c r="C52" s="18" t="s">
        <v>39</v>
      </c>
      <c r="D52" s="105"/>
      <c r="E52" s="54">
        <v>3697</v>
      </c>
      <c r="F52" s="105"/>
      <c r="G52" s="105"/>
      <c r="H52" s="105"/>
      <c r="I52" s="105"/>
      <c r="J52" s="110"/>
      <c r="K52" s="18" t="s">
        <v>39</v>
      </c>
      <c r="L52" s="105"/>
      <c r="M52" s="19">
        <v>3630</v>
      </c>
      <c r="N52" s="105"/>
      <c r="O52" s="105"/>
      <c r="P52" s="105"/>
      <c r="Q52" s="105"/>
      <c r="R52" s="110"/>
      <c r="T52" s="117"/>
      <c r="U52" s="102"/>
      <c r="V52" s="105"/>
      <c r="W52" s="18" t="s">
        <v>39</v>
      </c>
      <c r="X52" s="105"/>
      <c r="Y52" s="54"/>
      <c r="Z52" s="105"/>
      <c r="AA52" s="105"/>
      <c r="AB52" s="105"/>
      <c r="AC52" s="105"/>
      <c r="AD52" s="110"/>
      <c r="AE52" s="18" t="s">
        <v>39</v>
      </c>
      <c r="AF52" s="105"/>
      <c r="AG52" s="19"/>
      <c r="AH52" s="105"/>
      <c r="AI52" s="105"/>
      <c r="AJ52" s="105"/>
      <c r="AK52" s="105"/>
      <c r="AL52" s="110"/>
      <c r="AN52" s="102"/>
      <c r="AO52" s="105"/>
      <c r="AP52" s="18" t="s">
        <v>39</v>
      </c>
      <c r="AQ52" s="105"/>
      <c r="AR52" s="54"/>
      <c r="AS52" s="105"/>
      <c r="AT52" s="105"/>
      <c r="AU52" s="105"/>
      <c r="AV52" s="105"/>
      <c r="AW52" s="110"/>
      <c r="AX52" s="18" t="s">
        <v>39</v>
      </c>
      <c r="AY52" s="105"/>
      <c r="AZ52" s="19"/>
      <c r="BA52" s="105"/>
      <c r="BB52" s="105"/>
      <c r="BC52" s="105"/>
      <c r="BD52" s="105"/>
      <c r="BE52" s="110"/>
      <c r="BG52" s="102"/>
      <c r="BH52" s="105"/>
      <c r="BI52" s="18" t="s">
        <v>39</v>
      </c>
      <c r="BJ52" s="105"/>
      <c r="BK52" s="54"/>
      <c r="BL52" s="105"/>
      <c r="BM52" s="105"/>
      <c r="BN52" s="105"/>
      <c r="BO52" s="105"/>
      <c r="BP52" s="110"/>
      <c r="BQ52" s="18" t="s">
        <v>39</v>
      </c>
      <c r="BR52" s="105"/>
      <c r="BS52" s="19"/>
      <c r="BT52" s="105"/>
      <c r="BU52" s="105"/>
      <c r="BV52" s="105"/>
      <c r="BW52" s="105"/>
      <c r="BX52" s="110"/>
      <c r="BZ52" s="102"/>
      <c r="CA52" s="105"/>
      <c r="CB52" s="18" t="s">
        <v>39</v>
      </c>
      <c r="CC52" s="105"/>
      <c r="CD52" s="54"/>
      <c r="CE52" s="105"/>
      <c r="CF52" s="105"/>
      <c r="CG52" s="105"/>
      <c r="CH52" s="105"/>
      <c r="CI52" s="110"/>
      <c r="CJ52" s="18" t="s">
        <v>39</v>
      </c>
      <c r="CK52" s="105"/>
      <c r="CL52" s="19"/>
      <c r="CM52" s="105"/>
      <c r="CN52" s="105"/>
      <c r="CO52" s="105"/>
      <c r="CP52" s="105"/>
      <c r="CQ52" s="110"/>
      <c r="CS52" s="102"/>
      <c r="CT52" s="105"/>
      <c r="CU52" s="18" t="s">
        <v>39</v>
      </c>
      <c r="CV52" s="105"/>
      <c r="CW52" s="54"/>
      <c r="CX52" s="105"/>
      <c r="CY52" s="105"/>
      <c r="CZ52" s="105"/>
      <c r="DA52" s="105"/>
      <c r="DB52" s="110"/>
      <c r="DC52" s="18" t="s">
        <v>39</v>
      </c>
      <c r="DD52" s="105"/>
      <c r="DE52" s="19"/>
      <c r="DF52" s="105"/>
      <c r="DG52" s="105"/>
      <c r="DH52" s="105"/>
      <c r="DI52" s="105"/>
      <c r="DJ52" s="110"/>
    </row>
    <row r="53" spans="1:114" ht="14.25" customHeight="1" x14ac:dyDescent="0.3">
      <c r="A53" s="102"/>
      <c r="B53" s="105"/>
      <c r="C53" s="18" t="s">
        <v>40</v>
      </c>
      <c r="D53" s="105"/>
      <c r="E53" s="54">
        <v>3722</v>
      </c>
      <c r="F53" s="105"/>
      <c r="G53" s="105"/>
      <c r="H53" s="105"/>
      <c r="I53" s="105"/>
      <c r="J53" s="110"/>
      <c r="K53" s="18" t="s">
        <v>40</v>
      </c>
      <c r="L53" s="105"/>
      <c r="M53" s="19">
        <v>3657</v>
      </c>
      <c r="N53" s="105"/>
      <c r="O53" s="105"/>
      <c r="P53" s="105"/>
      <c r="Q53" s="105"/>
      <c r="R53" s="110"/>
      <c r="T53" s="117"/>
      <c r="U53" s="102"/>
      <c r="V53" s="105"/>
      <c r="W53" s="18" t="s">
        <v>40</v>
      </c>
      <c r="X53" s="105"/>
      <c r="Y53" s="54"/>
      <c r="Z53" s="105"/>
      <c r="AA53" s="105"/>
      <c r="AB53" s="105"/>
      <c r="AC53" s="105"/>
      <c r="AD53" s="110"/>
      <c r="AE53" s="18" t="s">
        <v>40</v>
      </c>
      <c r="AF53" s="105"/>
      <c r="AG53" s="19"/>
      <c r="AH53" s="105"/>
      <c r="AI53" s="105"/>
      <c r="AJ53" s="105"/>
      <c r="AK53" s="105"/>
      <c r="AL53" s="110"/>
      <c r="AN53" s="102"/>
      <c r="AO53" s="105"/>
      <c r="AP53" s="18" t="s">
        <v>40</v>
      </c>
      <c r="AQ53" s="105"/>
      <c r="AR53" s="54"/>
      <c r="AS53" s="105"/>
      <c r="AT53" s="105"/>
      <c r="AU53" s="105"/>
      <c r="AV53" s="105"/>
      <c r="AW53" s="110"/>
      <c r="AX53" s="18" t="s">
        <v>40</v>
      </c>
      <c r="AY53" s="105"/>
      <c r="AZ53" s="19"/>
      <c r="BA53" s="105"/>
      <c r="BB53" s="105"/>
      <c r="BC53" s="105"/>
      <c r="BD53" s="105"/>
      <c r="BE53" s="110"/>
      <c r="BG53" s="102"/>
      <c r="BH53" s="105"/>
      <c r="BI53" s="18" t="s">
        <v>40</v>
      </c>
      <c r="BJ53" s="105"/>
      <c r="BK53" s="54"/>
      <c r="BL53" s="105"/>
      <c r="BM53" s="105"/>
      <c r="BN53" s="105"/>
      <c r="BO53" s="105"/>
      <c r="BP53" s="110"/>
      <c r="BQ53" s="18" t="s">
        <v>40</v>
      </c>
      <c r="BR53" s="105"/>
      <c r="BS53" s="19"/>
      <c r="BT53" s="105"/>
      <c r="BU53" s="105"/>
      <c r="BV53" s="105"/>
      <c r="BW53" s="105"/>
      <c r="BX53" s="110"/>
      <c r="BZ53" s="102"/>
      <c r="CA53" s="105"/>
      <c r="CB53" s="18" t="s">
        <v>40</v>
      </c>
      <c r="CC53" s="105"/>
      <c r="CD53" s="54"/>
      <c r="CE53" s="105"/>
      <c r="CF53" s="105"/>
      <c r="CG53" s="105"/>
      <c r="CH53" s="105"/>
      <c r="CI53" s="110"/>
      <c r="CJ53" s="18" t="s">
        <v>40</v>
      </c>
      <c r="CK53" s="105"/>
      <c r="CL53" s="19"/>
      <c r="CM53" s="105"/>
      <c r="CN53" s="105"/>
      <c r="CO53" s="105"/>
      <c r="CP53" s="105"/>
      <c r="CQ53" s="110"/>
      <c r="CS53" s="102"/>
      <c r="CT53" s="105"/>
      <c r="CU53" s="18" t="s">
        <v>40</v>
      </c>
      <c r="CV53" s="105"/>
      <c r="CW53" s="54"/>
      <c r="CX53" s="105"/>
      <c r="CY53" s="105"/>
      <c r="CZ53" s="105"/>
      <c r="DA53" s="105"/>
      <c r="DB53" s="110"/>
      <c r="DC53" s="18" t="s">
        <v>40</v>
      </c>
      <c r="DD53" s="105"/>
      <c r="DE53" s="19"/>
      <c r="DF53" s="105"/>
      <c r="DG53" s="105"/>
      <c r="DH53" s="105"/>
      <c r="DI53" s="105"/>
      <c r="DJ53" s="110"/>
    </row>
    <row r="54" spans="1:114" ht="14.25" customHeight="1" x14ac:dyDescent="0.3">
      <c r="A54" s="102"/>
      <c r="B54" s="105"/>
      <c r="C54" s="18" t="s">
        <v>41</v>
      </c>
      <c r="D54" s="105"/>
      <c r="E54" s="54">
        <v>3725</v>
      </c>
      <c r="F54" s="105"/>
      <c r="G54" s="105"/>
      <c r="H54" s="105"/>
      <c r="I54" s="105"/>
      <c r="J54" s="110"/>
      <c r="K54" s="18" t="s">
        <v>41</v>
      </c>
      <c r="L54" s="105"/>
      <c r="M54" s="19">
        <v>3669</v>
      </c>
      <c r="N54" s="105"/>
      <c r="O54" s="105"/>
      <c r="P54" s="105"/>
      <c r="Q54" s="105"/>
      <c r="R54" s="110"/>
      <c r="T54" s="117"/>
      <c r="U54" s="102"/>
      <c r="V54" s="105"/>
      <c r="W54" s="18" t="s">
        <v>41</v>
      </c>
      <c r="X54" s="105"/>
      <c r="Y54" s="54"/>
      <c r="Z54" s="105"/>
      <c r="AA54" s="105"/>
      <c r="AB54" s="105"/>
      <c r="AC54" s="105"/>
      <c r="AD54" s="110"/>
      <c r="AE54" s="18" t="s">
        <v>41</v>
      </c>
      <c r="AF54" s="105"/>
      <c r="AG54" s="19"/>
      <c r="AH54" s="105"/>
      <c r="AI54" s="105"/>
      <c r="AJ54" s="105"/>
      <c r="AK54" s="105"/>
      <c r="AL54" s="110"/>
      <c r="AN54" s="102"/>
      <c r="AO54" s="105"/>
      <c r="AP54" s="18" t="s">
        <v>41</v>
      </c>
      <c r="AQ54" s="105"/>
      <c r="AR54" s="54"/>
      <c r="AS54" s="105"/>
      <c r="AT54" s="105"/>
      <c r="AU54" s="105"/>
      <c r="AV54" s="105"/>
      <c r="AW54" s="110"/>
      <c r="AX54" s="18" t="s">
        <v>41</v>
      </c>
      <c r="AY54" s="105"/>
      <c r="AZ54" s="19"/>
      <c r="BA54" s="105"/>
      <c r="BB54" s="105"/>
      <c r="BC54" s="105"/>
      <c r="BD54" s="105"/>
      <c r="BE54" s="110"/>
      <c r="BG54" s="102"/>
      <c r="BH54" s="105"/>
      <c r="BI54" s="18" t="s">
        <v>41</v>
      </c>
      <c r="BJ54" s="105"/>
      <c r="BK54" s="54"/>
      <c r="BL54" s="105"/>
      <c r="BM54" s="105"/>
      <c r="BN54" s="105"/>
      <c r="BO54" s="105"/>
      <c r="BP54" s="110"/>
      <c r="BQ54" s="18" t="s">
        <v>41</v>
      </c>
      <c r="BR54" s="105"/>
      <c r="BS54" s="19"/>
      <c r="BT54" s="105"/>
      <c r="BU54" s="105"/>
      <c r="BV54" s="105"/>
      <c r="BW54" s="105"/>
      <c r="BX54" s="110"/>
      <c r="BZ54" s="102"/>
      <c r="CA54" s="105"/>
      <c r="CB54" s="18" t="s">
        <v>41</v>
      </c>
      <c r="CC54" s="105"/>
      <c r="CD54" s="54"/>
      <c r="CE54" s="105"/>
      <c r="CF54" s="105"/>
      <c r="CG54" s="105"/>
      <c r="CH54" s="105"/>
      <c r="CI54" s="110"/>
      <c r="CJ54" s="18" t="s">
        <v>41</v>
      </c>
      <c r="CK54" s="105"/>
      <c r="CL54" s="19"/>
      <c r="CM54" s="105"/>
      <c r="CN54" s="105"/>
      <c r="CO54" s="105"/>
      <c r="CP54" s="105"/>
      <c r="CQ54" s="110"/>
      <c r="CS54" s="102"/>
      <c r="CT54" s="105"/>
      <c r="CU54" s="18" t="s">
        <v>41</v>
      </c>
      <c r="CV54" s="105"/>
      <c r="CW54" s="54"/>
      <c r="CX54" s="105"/>
      <c r="CY54" s="105"/>
      <c r="CZ54" s="105"/>
      <c r="DA54" s="105"/>
      <c r="DB54" s="110"/>
      <c r="DC54" s="18" t="s">
        <v>41</v>
      </c>
      <c r="DD54" s="105"/>
      <c r="DE54" s="19"/>
      <c r="DF54" s="105"/>
      <c r="DG54" s="105"/>
      <c r="DH54" s="105"/>
      <c r="DI54" s="105"/>
      <c r="DJ54" s="110"/>
    </row>
    <row r="55" spans="1:114" ht="14.25" customHeight="1" x14ac:dyDescent="0.3">
      <c r="A55" s="102"/>
      <c r="B55" s="105"/>
      <c r="C55" s="18" t="s">
        <v>42</v>
      </c>
      <c r="D55" s="105"/>
      <c r="E55" s="54">
        <v>3703</v>
      </c>
      <c r="F55" s="105"/>
      <c r="G55" s="105"/>
      <c r="H55" s="105"/>
      <c r="I55" s="105"/>
      <c r="J55" s="110"/>
      <c r="K55" s="18" t="s">
        <v>42</v>
      </c>
      <c r="L55" s="105"/>
      <c r="M55" s="19">
        <v>3652</v>
      </c>
      <c r="N55" s="105"/>
      <c r="O55" s="105"/>
      <c r="P55" s="105"/>
      <c r="Q55" s="105"/>
      <c r="R55" s="110"/>
      <c r="T55" s="117"/>
      <c r="U55" s="102"/>
      <c r="V55" s="105"/>
      <c r="W55" s="18" t="s">
        <v>42</v>
      </c>
      <c r="X55" s="105"/>
      <c r="Y55" s="54"/>
      <c r="Z55" s="105"/>
      <c r="AA55" s="105"/>
      <c r="AB55" s="105"/>
      <c r="AC55" s="105"/>
      <c r="AD55" s="110"/>
      <c r="AE55" s="18" t="s">
        <v>42</v>
      </c>
      <c r="AF55" s="105"/>
      <c r="AG55" s="19"/>
      <c r="AH55" s="105"/>
      <c r="AI55" s="105"/>
      <c r="AJ55" s="105"/>
      <c r="AK55" s="105"/>
      <c r="AL55" s="110"/>
      <c r="AN55" s="102"/>
      <c r="AO55" s="105"/>
      <c r="AP55" s="18" t="s">
        <v>42</v>
      </c>
      <c r="AQ55" s="105"/>
      <c r="AR55" s="54"/>
      <c r="AS55" s="105"/>
      <c r="AT55" s="105"/>
      <c r="AU55" s="105"/>
      <c r="AV55" s="105"/>
      <c r="AW55" s="110"/>
      <c r="AX55" s="18" t="s">
        <v>42</v>
      </c>
      <c r="AY55" s="105"/>
      <c r="AZ55" s="19"/>
      <c r="BA55" s="105"/>
      <c r="BB55" s="105"/>
      <c r="BC55" s="105"/>
      <c r="BD55" s="105"/>
      <c r="BE55" s="110"/>
      <c r="BG55" s="102"/>
      <c r="BH55" s="105"/>
      <c r="BI55" s="18" t="s">
        <v>42</v>
      </c>
      <c r="BJ55" s="105"/>
      <c r="BK55" s="54"/>
      <c r="BL55" s="105"/>
      <c r="BM55" s="105"/>
      <c r="BN55" s="105"/>
      <c r="BO55" s="105"/>
      <c r="BP55" s="110"/>
      <c r="BQ55" s="18" t="s">
        <v>42</v>
      </c>
      <c r="BR55" s="105"/>
      <c r="BS55" s="19"/>
      <c r="BT55" s="105"/>
      <c r="BU55" s="105"/>
      <c r="BV55" s="105"/>
      <c r="BW55" s="105"/>
      <c r="BX55" s="110"/>
      <c r="BZ55" s="102"/>
      <c r="CA55" s="105"/>
      <c r="CB55" s="18" t="s">
        <v>42</v>
      </c>
      <c r="CC55" s="105"/>
      <c r="CD55" s="54"/>
      <c r="CE55" s="105"/>
      <c r="CF55" s="105"/>
      <c r="CG55" s="105"/>
      <c r="CH55" s="105"/>
      <c r="CI55" s="110"/>
      <c r="CJ55" s="18" t="s">
        <v>42</v>
      </c>
      <c r="CK55" s="105"/>
      <c r="CL55" s="19"/>
      <c r="CM55" s="105"/>
      <c r="CN55" s="105"/>
      <c r="CO55" s="105"/>
      <c r="CP55" s="105"/>
      <c r="CQ55" s="110"/>
      <c r="CS55" s="102"/>
      <c r="CT55" s="105"/>
      <c r="CU55" s="18" t="s">
        <v>42</v>
      </c>
      <c r="CV55" s="105"/>
      <c r="CW55" s="54"/>
      <c r="CX55" s="105"/>
      <c r="CY55" s="105"/>
      <c r="CZ55" s="105"/>
      <c r="DA55" s="105"/>
      <c r="DB55" s="110"/>
      <c r="DC55" s="18" t="s">
        <v>42</v>
      </c>
      <c r="DD55" s="105"/>
      <c r="DE55" s="19"/>
      <c r="DF55" s="105"/>
      <c r="DG55" s="105"/>
      <c r="DH55" s="105"/>
      <c r="DI55" s="105"/>
      <c r="DJ55" s="110"/>
    </row>
    <row r="56" spans="1:114" ht="14.25" customHeight="1" x14ac:dyDescent="0.3">
      <c r="A56" s="102"/>
      <c r="B56" s="105"/>
      <c r="C56" s="18" t="s">
        <v>43</v>
      </c>
      <c r="D56" s="105"/>
      <c r="E56" s="54">
        <v>3697</v>
      </c>
      <c r="F56" s="105"/>
      <c r="G56" s="105"/>
      <c r="H56" s="105"/>
      <c r="I56" s="105"/>
      <c r="J56" s="110"/>
      <c r="K56" s="18" t="s">
        <v>43</v>
      </c>
      <c r="L56" s="105"/>
      <c r="M56" s="19">
        <v>3624</v>
      </c>
      <c r="N56" s="105"/>
      <c r="O56" s="105"/>
      <c r="P56" s="105"/>
      <c r="Q56" s="105"/>
      <c r="R56" s="110"/>
      <c r="T56" s="117"/>
      <c r="U56" s="102"/>
      <c r="V56" s="105"/>
      <c r="W56" s="18" t="s">
        <v>43</v>
      </c>
      <c r="X56" s="105"/>
      <c r="Y56" s="54"/>
      <c r="Z56" s="105"/>
      <c r="AA56" s="105"/>
      <c r="AB56" s="105"/>
      <c r="AC56" s="105"/>
      <c r="AD56" s="110"/>
      <c r="AE56" s="18" t="s">
        <v>43</v>
      </c>
      <c r="AF56" s="105"/>
      <c r="AG56" s="19"/>
      <c r="AH56" s="105"/>
      <c r="AI56" s="105"/>
      <c r="AJ56" s="105"/>
      <c r="AK56" s="105"/>
      <c r="AL56" s="110"/>
      <c r="AN56" s="102"/>
      <c r="AO56" s="105"/>
      <c r="AP56" s="18" t="s">
        <v>43</v>
      </c>
      <c r="AQ56" s="105"/>
      <c r="AR56" s="54"/>
      <c r="AS56" s="105"/>
      <c r="AT56" s="105"/>
      <c r="AU56" s="105"/>
      <c r="AV56" s="105"/>
      <c r="AW56" s="110"/>
      <c r="AX56" s="18" t="s">
        <v>43</v>
      </c>
      <c r="AY56" s="105"/>
      <c r="AZ56" s="19"/>
      <c r="BA56" s="105"/>
      <c r="BB56" s="105"/>
      <c r="BC56" s="105"/>
      <c r="BD56" s="105"/>
      <c r="BE56" s="110"/>
      <c r="BG56" s="102"/>
      <c r="BH56" s="105"/>
      <c r="BI56" s="18" t="s">
        <v>43</v>
      </c>
      <c r="BJ56" s="105"/>
      <c r="BK56" s="54"/>
      <c r="BL56" s="105"/>
      <c r="BM56" s="105"/>
      <c r="BN56" s="105"/>
      <c r="BO56" s="105"/>
      <c r="BP56" s="110"/>
      <c r="BQ56" s="18" t="s">
        <v>43</v>
      </c>
      <c r="BR56" s="105"/>
      <c r="BS56" s="19"/>
      <c r="BT56" s="105"/>
      <c r="BU56" s="105"/>
      <c r="BV56" s="105"/>
      <c r="BW56" s="105"/>
      <c r="BX56" s="110"/>
      <c r="BZ56" s="102"/>
      <c r="CA56" s="105"/>
      <c r="CB56" s="18" t="s">
        <v>43</v>
      </c>
      <c r="CC56" s="105"/>
      <c r="CD56" s="54"/>
      <c r="CE56" s="105"/>
      <c r="CF56" s="105"/>
      <c r="CG56" s="105"/>
      <c r="CH56" s="105"/>
      <c r="CI56" s="110"/>
      <c r="CJ56" s="18" t="s">
        <v>43</v>
      </c>
      <c r="CK56" s="105"/>
      <c r="CL56" s="19"/>
      <c r="CM56" s="105"/>
      <c r="CN56" s="105"/>
      <c r="CO56" s="105"/>
      <c r="CP56" s="105"/>
      <c r="CQ56" s="110"/>
      <c r="CS56" s="102"/>
      <c r="CT56" s="105"/>
      <c r="CU56" s="18" t="s">
        <v>43</v>
      </c>
      <c r="CV56" s="105"/>
      <c r="CW56" s="54"/>
      <c r="CX56" s="105"/>
      <c r="CY56" s="105"/>
      <c r="CZ56" s="105"/>
      <c r="DA56" s="105"/>
      <c r="DB56" s="110"/>
      <c r="DC56" s="18" t="s">
        <v>43</v>
      </c>
      <c r="DD56" s="105"/>
      <c r="DE56" s="19"/>
      <c r="DF56" s="105"/>
      <c r="DG56" s="105"/>
      <c r="DH56" s="105"/>
      <c r="DI56" s="105"/>
      <c r="DJ56" s="110"/>
    </row>
    <row r="57" spans="1:114" ht="14.25" customHeight="1" x14ac:dyDescent="0.3">
      <c r="A57" s="102"/>
      <c r="B57" s="105"/>
      <c r="C57" s="18" t="s">
        <v>44</v>
      </c>
      <c r="D57" s="105"/>
      <c r="E57" s="54">
        <v>3717</v>
      </c>
      <c r="F57" s="105"/>
      <c r="G57" s="105"/>
      <c r="H57" s="105"/>
      <c r="I57" s="105"/>
      <c r="J57" s="110"/>
      <c r="K57" s="18" t="s">
        <v>44</v>
      </c>
      <c r="L57" s="105"/>
      <c r="M57" s="19">
        <v>3676</v>
      </c>
      <c r="N57" s="105"/>
      <c r="O57" s="105"/>
      <c r="P57" s="105"/>
      <c r="Q57" s="105"/>
      <c r="R57" s="110"/>
      <c r="T57" s="117"/>
      <c r="U57" s="102"/>
      <c r="V57" s="105"/>
      <c r="W57" s="18" t="s">
        <v>44</v>
      </c>
      <c r="X57" s="105"/>
      <c r="Y57" s="54"/>
      <c r="Z57" s="105"/>
      <c r="AA57" s="105"/>
      <c r="AB57" s="105"/>
      <c r="AC57" s="105"/>
      <c r="AD57" s="110"/>
      <c r="AE57" s="18" t="s">
        <v>44</v>
      </c>
      <c r="AF57" s="105"/>
      <c r="AG57" s="19"/>
      <c r="AH57" s="105"/>
      <c r="AI57" s="105"/>
      <c r="AJ57" s="105"/>
      <c r="AK57" s="105"/>
      <c r="AL57" s="110"/>
      <c r="AN57" s="102"/>
      <c r="AO57" s="105"/>
      <c r="AP57" s="18" t="s">
        <v>44</v>
      </c>
      <c r="AQ57" s="105"/>
      <c r="AR57" s="54"/>
      <c r="AS57" s="105"/>
      <c r="AT57" s="105"/>
      <c r="AU57" s="105"/>
      <c r="AV57" s="105"/>
      <c r="AW57" s="110"/>
      <c r="AX57" s="18" t="s">
        <v>44</v>
      </c>
      <c r="AY57" s="105"/>
      <c r="AZ57" s="19"/>
      <c r="BA57" s="105"/>
      <c r="BB57" s="105"/>
      <c r="BC57" s="105"/>
      <c r="BD57" s="105"/>
      <c r="BE57" s="110"/>
      <c r="BG57" s="102"/>
      <c r="BH57" s="105"/>
      <c r="BI57" s="18" t="s">
        <v>44</v>
      </c>
      <c r="BJ57" s="105"/>
      <c r="BK57" s="54"/>
      <c r="BL57" s="105"/>
      <c r="BM57" s="105"/>
      <c r="BN57" s="105"/>
      <c r="BO57" s="105"/>
      <c r="BP57" s="110"/>
      <c r="BQ57" s="18" t="s">
        <v>44</v>
      </c>
      <c r="BR57" s="105"/>
      <c r="BS57" s="19"/>
      <c r="BT57" s="105"/>
      <c r="BU57" s="105"/>
      <c r="BV57" s="105"/>
      <c r="BW57" s="105"/>
      <c r="BX57" s="110"/>
      <c r="BZ57" s="102"/>
      <c r="CA57" s="105"/>
      <c r="CB57" s="18" t="s">
        <v>44</v>
      </c>
      <c r="CC57" s="105"/>
      <c r="CD57" s="54"/>
      <c r="CE57" s="105"/>
      <c r="CF57" s="105"/>
      <c r="CG57" s="105"/>
      <c r="CH57" s="105"/>
      <c r="CI57" s="110"/>
      <c r="CJ57" s="18" t="s">
        <v>44</v>
      </c>
      <c r="CK57" s="105"/>
      <c r="CL57" s="19"/>
      <c r="CM57" s="105"/>
      <c r="CN57" s="105"/>
      <c r="CO57" s="105"/>
      <c r="CP57" s="105"/>
      <c r="CQ57" s="110"/>
      <c r="CS57" s="102"/>
      <c r="CT57" s="105"/>
      <c r="CU57" s="18" t="s">
        <v>44</v>
      </c>
      <c r="CV57" s="105"/>
      <c r="CW57" s="54"/>
      <c r="CX57" s="105"/>
      <c r="CY57" s="105"/>
      <c r="CZ57" s="105"/>
      <c r="DA57" s="105"/>
      <c r="DB57" s="110"/>
      <c r="DC57" s="18" t="s">
        <v>44</v>
      </c>
      <c r="DD57" s="105"/>
      <c r="DE57" s="19"/>
      <c r="DF57" s="105"/>
      <c r="DG57" s="105"/>
      <c r="DH57" s="105"/>
      <c r="DI57" s="105"/>
      <c r="DJ57" s="110"/>
    </row>
    <row r="58" spans="1:114" ht="14.25" customHeight="1" x14ac:dyDescent="0.3">
      <c r="A58" s="102"/>
      <c r="B58" s="105"/>
      <c r="C58" s="18" t="s">
        <v>45</v>
      </c>
      <c r="D58" s="105"/>
      <c r="E58" s="54">
        <v>3695</v>
      </c>
      <c r="F58" s="105"/>
      <c r="G58" s="105"/>
      <c r="H58" s="105"/>
      <c r="I58" s="105"/>
      <c r="J58" s="110"/>
      <c r="K58" s="18" t="s">
        <v>45</v>
      </c>
      <c r="L58" s="105"/>
      <c r="M58" s="19">
        <v>3632</v>
      </c>
      <c r="N58" s="105"/>
      <c r="O58" s="105"/>
      <c r="P58" s="105"/>
      <c r="Q58" s="105"/>
      <c r="R58" s="110"/>
      <c r="T58" s="117"/>
      <c r="U58" s="102"/>
      <c r="V58" s="105"/>
      <c r="W58" s="18" t="s">
        <v>45</v>
      </c>
      <c r="X58" s="105"/>
      <c r="Y58" s="54"/>
      <c r="Z58" s="105"/>
      <c r="AA58" s="105"/>
      <c r="AB58" s="105"/>
      <c r="AC58" s="105"/>
      <c r="AD58" s="110"/>
      <c r="AE58" s="18" t="s">
        <v>45</v>
      </c>
      <c r="AF58" s="105"/>
      <c r="AG58" s="19"/>
      <c r="AH58" s="105"/>
      <c r="AI58" s="105"/>
      <c r="AJ58" s="105"/>
      <c r="AK58" s="105"/>
      <c r="AL58" s="110"/>
      <c r="AN58" s="102"/>
      <c r="AO58" s="105"/>
      <c r="AP58" s="18" t="s">
        <v>45</v>
      </c>
      <c r="AQ58" s="105"/>
      <c r="AR58" s="54"/>
      <c r="AS58" s="105"/>
      <c r="AT58" s="105"/>
      <c r="AU58" s="105"/>
      <c r="AV58" s="105"/>
      <c r="AW58" s="110"/>
      <c r="AX58" s="18" t="s">
        <v>45</v>
      </c>
      <c r="AY58" s="105"/>
      <c r="AZ58" s="19"/>
      <c r="BA58" s="105"/>
      <c r="BB58" s="105"/>
      <c r="BC58" s="105"/>
      <c r="BD58" s="105"/>
      <c r="BE58" s="110"/>
      <c r="BG58" s="102"/>
      <c r="BH58" s="105"/>
      <c r="BI58" s="18" t="s">
        <v>45</v>
      </c>
      <c r="BJ58" s="105"/>
      <c r="BK58" s="54"/>
      <c r="BL58" s="105"/>
      <c r="BM58" s="105"/>
      <c r="BN58" s="105"/>
      <c r="BO58" s="105"/>
      <c r="BP58" s="110"/>
      <c r="BQ58" s="18" t="s">
        <v>45</v>
      </c>
      <c r="BR58" s="105"/>
      <c r="BS58" s="19"/>
      <c r="BT58" s="105"/>
      <c r="BU58" s="105"/>
      <c r="BV58" s="105"/>
      <c r="BW58" s="105"/>
      <c r="BX58" s="110"/>
      <c r="BZ58" s="102"/>
      <c r="CA58" s="105"/>
      <c r="CB58" s="18" t="s">
        <v>45</v>
      </c>
      <c r="CC58" s="105"/>
      <c r="CD58" s="54"/>
      <c r="CE58" s="105"/>
      <c r="CF58" s="105"/>
      <c r="CG58" s="105"/>
      <c r="CH58" s="105"/>
      <c r="CI58" s="110"/>
      <c r="CJ58" s="18" t="s">
        <v>45</v>
      </c>
      <c r="CK58" s="105"/>
      <c r="CL58" s="19"/>
      <c r="CM58" s="105"/>
      <c r="CN58" s="105"/>
      <c r="CO58" s="105"/>
      <c r="CP58" s="105"/>
      <c r="CQ58" s="110"/>
      <c r="CS58" s="102"/>
      <c r="CT58" s="105"/>
      <c r="CU58" s="18" t="s">
        <v>45</v>
      </c>
      <c r="CV58" s="105"/>
      <c r="CW58" s="54"/>
      <c r="CX58" s="105"/>
      <c r="CY58" s="105"/>
      <c r="CZ58" s="105"/>
      <c r="DA58" s="105"/>
      <c r="DB58" s="110"/>
      <c r="DC58" s="18" t="s">
        <v>45</v>
      </c>
      <c r="DD58" s="105"/>
      <c r="DE58" s="19"/>
      <c r="DF58" s="105"/>
      <c r="DG58" s="105"/>
      <c r="DH58" s="105"/>
      <c r="DI58" s="105"/>
      <c r="DJ58" s="110"/>
    </row>
    <row r="59" spans="1:114" ht="14.25" customHeight="1" x14ac:dyDescent="0.3">
      <c r="A59" s="102"/>
      <c r="B59" s="105"/>
      <c r="C59" s="18" t="s">
        <v>46</v>
      </c>
      <c r="D59" s="105"/>
      <c r="E59" s="54">
        <v>3729</v>
      </c>
      <c r="F59" s="105"/>
      <c r="G59" s="105"/>
      <c r="H59" s="105"/>
      <c r="I59" s="105"/>
      <c r="J59" s="110"/>
      <c r="K59" s="18" t="s">
        <v>46</v>
      </c>
      <c r="L59" s="105"/>
      <c r="M59" s="19">
        <v>3655</v>
      </c>
      <c r="N59" s="105"/>
      <c r="O59" s="105"/>
      <c r="P59" s="105"/>
      <c r="Q59" s="105"/>
      <c r="R59" s="110"/>
      <c r="T59" s="117"/>
      <c r="U59" s="102"/>
      <c r="V59" s="105"/>
      <c r="W59" s="18" t="s">
        <v>46</v>
      </c>
      <c r="X59" s="105"/>
      <c r="Y59" s="54"/>
      <c r="Z59" s="105"/>
      <c r="AA59" s="105"/>
      <c r="AB59" s="105"/>
      <c r="AC59" s="105"/>
      <c r="AD59" s="110"/>
      <c r="AE59" s="18" t="s">
        <v>46</v>
      </c>
      <c r="AF59" s="105"/>
      <c r="AG59" s="19"/>
      <c r="AH59" s="105"/>
      <c r="AI59" s="105"/>
      <c r="AJ59" s="105"/>
      <c r="AK59" s="105"/>
      <c r="AL59" s="110"/>
      <c r="AN59" s="102"/>
      <c r="AO59" s="105"/>
      <c r="AP59" s="18" t="s">
        <v>46</v>
      </c>
      <c r="AQ59" s="105"/>
      <c r="AR59" s="54"/>
      <c r="AS59" s="105"/>
      <c r="AT59" s="105"/>
      <c r="AU59" s="105"/>
      <c r="AV59" s="105"/>
      <c r="AW59" s="110"/>
      <c r="AX59" s="18" t="s">
        <v>46</v>
      </c>
      <c r="AY59" s="105"/>
      <c r="AZ59" s="19"/>
      <c r="BA59" s="105"/>
      <c r="BB59" s="105"/>
      <c r="BC59" s="105"/>
      <c r="BD59" s="105"/>
      <c r="BE59" s="110"/>
      <c r="BG59" s="102"/>
      <c r="BH59" s="105"/>
      <c r="BI59" s="18" t="s">
        <v>46</v>
      </c>
      <c r="BJ59" s="105"/>
      <c r="BK59" s="54"/>
      <c r="BL59" s="105"/>
      <c r="BM59" s="105"/>
      <c r="BN59" s="105"/>
      <c r="BO59" s="105"/>
      <c r="BP59" s="110"/>
      <c r="BQ59" s="18" t="s">
        <v>46</v>
      </c>
      <c r="BR59" s="105"/>
      <c r="BS59" s="19"/>
      <c r="BT59" s="105"/>
      <c r="BU59" s="105"/>
      <c r="BV59" s="105"/>
      <c r="BW59" s="105"/>
      <c r="BX59" s="110"/>
      <c r="BZ59" s="102"/>
      <c r="CA59" s="105"/>
      <c r="CB59" s="18" t="s">
        <v>46</v>
      </c>
      <c r="CC59" s="105"/>
      <c r="CD59" s="54"/>
      <c r="CE59" s="105"/>
      <c r="CF59" s="105"/>
      <c r="CG59" s="105"/>
      <c r="CH59" s="105"/>
      <c r="CI59" s="110"/>
      <c r="CJ59" s="18" t="s">
        <v>46</v>
      </c>
      <c r="CK59" s="105"/>
      <c r="CL59" s="19"/>
      <c r="CM59" s="105"/>
      <c r="CN59" s="105"/>
      <c r="CO59" s="105"/>
      <c r="CP59" s="105"/>
      <c r="CQ59" s="110"/>
      <c r="CS59" s="102"/>
      <c r="CT59" s="105"/>
      <c r="CU59" s="18" t="s">
        <v>46</v>
      </c>
      <c r="CV59" s="105"/>
      <c r="CW59" s="54"/>
      <c r="CX59" s="105"/>
      <c r="CY59" s="105"/>
      <c r="CZ59" s="105"/>
      <c r="DA59" s="105"/>
      <c r="DB59" s="110"/>
      <c r="DC59" s="18" t="s">
        <v>46</v>
      </c>
      <c r="DD59" s="105"/>
      <c r="DE59" s="19"/>
      <c r="DF59" s="105"/>
      <c r="DG59" s="105"/>
      <c r="DH59" s="105"/>
      <c r="DI59" s="105"/>
      <c r="DJ59" s="110"/>
    </row>
    <row r="60" spans="1:114" ht="14.25" customHeight="1" x14ac:dyDescent="0.3">
      <c r="A60" s="102"/>
      <c r="B60" s="105"/>
      <c r="C60" s="18" t="s">
        <v>47</v>
      </c>
      <c r="D60" s="105"/>
      <c r="E60" s="54">
        <v>3717</v>
      </c>
      <c r="F60" s="105"/>
      <c r="G60" s="105"/>
      <c r="H60" s="105"/>
      <c r="I60" s="105"/>
      <c r="J60" s="110"/>
      <c r="K60" s="18" t="s">
        <v>47</v>
      </c>
      <c r="L60" s="105"/>
      <c r="M60" s="19">
        <v>3669</v>
      </c>
      <c r="N60" s="105"/>
      <c r="O60" s="105"/>
      <c r="P60" s="105"/>
      <c r="Q60" s="105"/>
      <c r="R60" s="110"/>
      <c r="T60" s="117"/>
      <c r="U60" s="102"/>
      <c r="V60" s="105"/>
      <c r="W60" s="18" t="s">
        <v>47</v>
      </c>
      <c r="X60" s="105"/>
      <c r="Y60" s="54"/>
      <c r="Z60" s="105"/>
      <c r="AA60" s="105"/>
      <c r="AB60" s="105"/>
      <c r="AC60" s="105"/>
      <c r="AD60" s="110"/>
      <c r="AE60" s="18" t="s">
        <v>47</v>
      </c>
      <c r="AF60" s="105"/>
      <c r="AG60" s="19"/>
      <c r="AH60" s="105"/>
      <c r="AI60" s="105"/>
      <c r="AJ60" s="105"/>
      <c r="AK60" s="105"/>
      <c r="AL60" s="110"/>
      <c r="AN60" s="102"/>
      <c r="AO60" s="105"/>
      <c r="AP60" s="18" t="s">
        <v>47</v>
      </c>
      <c r="AQ60" s="105"/>
      <c r="AR60" s="54"/>
      <c r="AS60" s="105"/>
      <c r="AT60" s="105"/>
      <c r="AU60" s="105"/>
      <c r="AV60" s="105"/>
      <c r="AW60" s="110"/>
      <c r="AX60" s="18" t="s">
        <v>47</v>
      </c>
      <c r="AY60" s="105"/>
      <c r="AZ60" s="19"/>
      <c r="BA60" s="105"/>
      <c r="BB60" s="105"/>
      <c r="BC60" s="105"/>
      <c r="BD60" s="105"/>
      <c r="BE60" s="110"/>
      <c r="BG60" s="102"/>
      <c r="BH60" s="105"/>
      <c r="BI60" s="18" t="s">
        <v>47</v>
      </c>
      <c r="BJ60" s="105"/>
      <c r="BK60" s="54"/>
      <c r="BL60" s="105"/>
      <c r="BM60" s="105"/>
      <c r="BN60" s="105"/>
      <c r="BO60" s="105"/>
      <c r="BP60" s="110"/>
      <c r="BQ60" s="18" t="s">
        <v>47</v>
      </c>
      <c r="BR60" s="105"/>
      <c r="BS60" s="19"/>
      <c r="BT60" s="105"/>
      <c r="BU60" s="105"/>
      <c r="BV60" s="105"/>
      <c r="BW60" s="105"/>
      <c r="BX60" s="110"/>
      <c r="BZ60" s="102"/>
      <c r="CA60" s="105"/>
      <c r="CB60" s="18" t="s">
        <v>47</v>
      </c>
      <c r="CC60" s="105"/>
      <c r="CD60" s="54"/>
      <c r="CE60" s="105"/>
      <c r="CF60" s="105"/>
      <c r="CG60" s="105"/>
      <c r="CH60" s="105"/>
      <c r="CI60" s="110"/>
      <c r="CJ60" s="18" t="s">
        <v>47</v>
      </c>
      <c r="CK60" s="105"/>
      <c r="CL60" s="19"/>
      <c r="CM60" s="105"/>
      <c r="CN60" s="105"/>
      <c r="CO60" s="105"/>
      <c r="CP60" s="105"/>
      <c r="CQ60" s="110"/>
      <c r="CS60" s="102"/>
      <c r="CT60" s="105"/>
      <c r="CU60" s="18" t="s">
        <v>47</v>
      </c>
      <c r="CV60" s="105"/>
      <c r="CW60" s="54"/>
      <c r="CX60" s="105"/>
      <c r="CY60" s="105"/>
      <c r="CZ60" s="105"/>
      <c r="DA60" s="105"/>
      <c r="DB60" s="110"/>
      <c r="DC60" s="18" t="s">
        <v>47</v>
      </c>
      <c r="DD60" s="105"/>
      <c r="DE60" s="19"/>
      <c r="DF60" s="105"/>
      <c r="DG60" s="105"/>
      <c r="DH60" s="105"/>
      <c r="DI60" s="105"/>
      <c r="DJ60" s="110"/>
    </row>
    <row r="61" spans="1:114" ht="14.25" customHeight="1" x14ac:dyDescent="0.3">
      <c r="A61" s="103"/>
      <c r="B61" s="106"/>
      <c r="C61" s="21" t="s">
        <v>48</v>
      </c>
      <c r="D61" s="106"/>
      <c r="E61" s="63">
        <v>3734</v>
      </c>
      <c r="F61" s="106"/>
      <c r="G61" s="106"/>
      <c r="H61" s="106"/>
      <c r="I61" s="106"/>
      <c r="J61" s="111"/>
      <c r="K61" s="21" t="s">
        <v>48</v>
      </c>
      <c r="L61" s="106"/>
      <c r="M61" s="22">
        <v>3669</v>
      </c>
      <c r="N61" s="106"/>
      <c r="O61" s="106"/>
      <c r="P61" s="106"/>
      <c r="Q61" s="106"/>
      <c r="R61" s="111"/>
      <c r="T61" s="117"/>
      <c r="U61" s="103"/>
      <c r="V61" s="106"/>
      <c r="W61" s="21" t="s">
        <v>48</v>
      </c>
      <c r="X61" s="106"/>
      <c r="Y61" s="63"/>
      <c r="Z61" s="106"/>
      <c r="AA61" s="106"/>
      <c r="AB61" s="106"/>
      <c r="AC61" s="106"/>
      <c r="AD61" s="111"/>
      <c r="AE61" s="21" t="s">
        <v>48</v>
      </c>
      <c r="AF61" s="106"/>
      <c r="AG61" s="22"/>
      <c r="AH61" s="106"/>
      <c r="AI61" s="106"/>
      <c r="AJ61" s="106"/>
      <c r="AK61" s="106"/>
      <c r="AL61" s="111"/>
      <c r="AN61" s="103"/>
      <c r="AO61" s="106"/>
      <c r="AP61" s="21" t="s">
        <v>48</v>
      </c>
      <c r="AQ61" s="106"/>
      <c r="AR61" s="63"/>
      <c r="AS61" s="106"/>
      <c r="AT61" s="106"/>
      <c r="AU61" s="106"/>
      <c r="AV61" s="106"/>
      <c r="AW61" s="111"/>
      <c r="AX61" s="21" t="s">
        <v>48</v>
      </c>
      <c r="AY61" s="106"/>
      <c r="AZ61" s="22"/>
      <c r="BA61" s="106"/>
      <c r="BB61" s="106"/>
      <c r="BC61" s="106"/>
      <c r="BD61" s="106"/>
      <c r="BE61" s="111"/>
      <c r="BG61" s="103"/>
      <c r="BH61" s="106"/>
      <c r="BI61" s="21" t="s">
        <v>48</v>
      </c>
      <c r="BJ61" s="106"/>
      <c r="BK61" s="63"/>
      <c r="BL61" s="106"/>
      <c r="BM61" s="106"/>
      <c r="BN61" s="106"/>
      <c r="BO61" s="106"/>
      <c r="BP61" s="111"/>
      <c r="BQ61" s="21" t="s">
        <v>48</v>
      </c>
      <c r="BR61" s="106"/>
      <c r="BS61" s="22"/>
      <c r="BT61" s="106"/>
      <c r="BU61" s="106"/>
      <c r="BV61" s="106"/>
      <c r="BW61" s="106"/>
      <c r="BX61" s="111"/>
      <c r="BZ61" s="103"/>
      <c r="CA61" s="106"/>
      <c r="CB61" s="21" t="s">
        <v>48</v>
      </c>
      <c r="CC61" s="106"/>
      <c r="CD61" s="63"/>
      <c r="CE61" s="106"/>
      <c r="CF61" s="106"/>
      <c r="CG61" s="106"/>
      <c r="CH61" s="106"/>
      <c r="CI61" s="111"/>
      <c r="CJ61" s="21" t="s">
        <v>48</v>
      </c>
      <c r="CK61" s="106"/>
      <c r="CL61" s="22"/>
      <c r="CM61" s="106"/>
      <c r="CN61" s="106"/>
      <c r="CO61" s="106"/>
      <c r="CP61" s="106"/>
      <c r="CQ61" s="111"/>
      <c r="CS61" s="103"/>
      <c r="CT61" s="106"/>
      <c r="CU61" s="21" t="s">
        <v>48</v>
      </c>
      <c r="CV61" s="106"/>
      <c r="CW61" s="63"/>
      <c r="CX61" s="106"/>
      <c r="CY61" s="106"/>
      <c r="CZ61" s="106"/>
      <c r="DA61" s="106"/>
      <c r="DB61" s="111"/>
      <c r="DC61" s="21" t="s">
        <v>48</v>
      </c>
      <c r="DD61" s="106"/>
      <c r="DE61" s="22"/>
      <c r="DF61" s="106"/>
      <c r="DG61" s="106"/>
      <c r="DH61" s="106"/>
      <c r="DI61" s="106"/>
      <c r="DJ61" s="111"/>
    </row>
    <row r="62" spans="1:114" ht="14.25" customHeight="1" x14ac:dyDescent="0.3">
      <c r="A62" s="16"/>
      <c r="B62" s="16"/>
      <c r="C62" s="3"/>
      <c r="D62" s="16"/>
      <c r="E62" s="68"/>
      <c r="F62" s="16"/>
      <c r="G62" s="16"/>
      <c r="H62" s="16"/>
      <c r="I62" s="16"/>
      <c r="J62" s="16"/>
      <c r="K62" s="3"/>
      <c r="L62" s="16"/>
      <c r="M62" s="65" t="s">
        <v>98</v>
      </c>
      <c r="N62" s="16"/>
      <c r="O62" s="16"/>
      <c r="P62" s="16"/>
      <c r="Q62" s="16"/>
      <c r="R62" s="16"/>
      <c r="T62" s="16"/>
      <c r="U62" s="16"/>
      <c r="V62" s="16"/>
      <c r="W62" s="3"/>
      <c r="X62" s="16"/>
      <c r="Y62" s="68"/>
      <c r="Z62" s="16"/>
      <c r="AA62" s="16"/>
      <c r="AB62" s="16"/>
      <c r="AC62" s="16"/>
      <c r="AD62" s="16"/>
      <c r="AE62" s="3"/>
      <c r="AF62" s="16"/>
      <c r="AG62" s="65"/>
      <c r="AH62" s="16"/>
      <c r="AI62" s="16"/>
      <c r="AJ62" s="16"/>
      <c r="AK62" s="16"/>
      <c r="AL62" s="16"/>
      <c r="AN62" s="16"/>
      <c r="AO62" s="16"/>
      <c r="AP62" s="3"/>
      <c r="AQ62" s="16"/>
      <c r="AR62" s="68"/>
      <c r="AS62" s="16"/>
      <c r="AT62" s="16"/>
      <c r="AU62" s="16"/>
      <c r="AV62" s="16"/>
      <c r="AW62" s="16"/>
      <c r="AX62" s="3"/>
      <c r="AY62" s="16"/>
      <c r="AZ62" s="65"/>
      <c r="BA62" s="16"/>
      <c r="BB62" s="16"/>
      <c r="BC62" s="16"/>
      <c r="BD62" s="16"/>
      <c r="BE62" s="16"/>
      <c r="BG62" s="16"/>
      <c r="BH62" s="16"/>
      <c r="BI62" s="3"/>
      <c r="BJ62" s="16"/>
      <c r="BK62" s="68"/>
      <c r="BL62" s="16"/>
      <c r="BM62" s="16"/>
      <c r="BN62" s="16"/>
      <c r="BO62" s="16"/>
      <c r="BP62" s="16"/>
      <c r="BQ62" s="3"/>
      <c r="BR62" s="16"/>
      <c r="BS62" s="65"/>
      <c r="BT62" s="16"/>
      <c r="BU62" s="16"/>
      <c r="BV62" s="16"/>
      <c r="BW62" s="16"/>
      <c r="BX62" s="16"/>
      <c r="BZ62" s="16"/>
      <c r="CA62" s="16"/>
      <c r="CB62" s="3"/>
      <c r="CC62" s="16"/>
      <c r="CD62" s="68"/>
      <c r="CE62" s="16"/>
      <c r="CF62" s="16"/>
      <c r="CG62" s="16"/>
      <c r="CH62" s="16"/>
      <c r="CI62" s="16"/>
      <c r="CJ62" s="3"/>
      <c r="CK62" s="16"/>
      <c r="CL62" s="65"/>
      <c r="CM62" s="16"/>
      <c r="CN62" s="16"/>
      <c r="CO62" s="16"/>
      <c r="CP62" s="16"/>
      <c r="CQ62" s="16"/>
      <c r="CS62" s="16"/>
      <c r="CT62" s="16"/>
      <c r="CU62" s="3"/>
      <c r="CV62" s="16"/>
      <c r="CW62" s="68"/>
      <c r="CX62" s="16"/>
      <c r="CY62" s="16"/>
      <c r="CZ62" s="16"/>
      <c r="DA62" s="16"/>
      <c r="DB62" s="16"/>
      <c r="DC62" s="3"/>
      <c r="DD62" s="16"/>
      <c r="DE62" s="65"/>
      <c r="DF62" s="16"/>
      <c r="DG62" s="16"/>
      <c r="DH62" s="16"/>
      <c r="DI62" s="16"/>
      <c r="DJ62" s="16"/>
    </row>
    <row r="63" spans="1:114" ht="14.25" customHeight="1" x14ac:dyDescent="0.3">
      <c r="A63" s="116"/>
      <c r="B63" s="116"/>
      <c r="E63" s="62" t="s">
        <v>99</v>
      </c>
      <c r="G63" s="116"/>
      <c r="H63" s="116"/>
      <c r="I63" s="116"/>
      <c r="J63" s="116"/>
      <c r="M63" s="116"/>
      <c r="N63" s="65"/>
      <c r="O63" s="116"/>
      <c r="P63" s="116"/>
      <c r="Q63" s="140"/>
      <c r="R63" s="116"/>
    </row>
    <row r="64" spans="1:114" ht="14.25" customHeight="1" x14ac:dyDescent="0.3">
      <c r="A64" s="117"/>
      <c r="B64" s="117"/>
      <c r="G64" s="117"/>
      <c r="H64" s="117"/>
      <c r="I64" s="117"/>
      <c r="J64" s="117"/>
      <c r="M64" s="117"/>
      <c r="N64" s="65"/>
      <c r="O64" s="117"/>
      <c r="P64" s="117"/>
      <c r="Q64" s="117"/>
      <c r="R64" s="117"/>
    </row>
    <row r="65" spans="1:18" ht="14.25" customHeight="1" x14ac:dyDescent="0.3">
      <c r="A65" s="117"/>
      <c r="B65" s="117"/>
      <c r="G65" s="117"/>
      <c r="H65" s="117"/>
      <c r="I65" s="117"/>
      <c r="J65" s="117"/>
      <c r="M65" s="117"/>
      <c r="N65" s="65"/>
      <c r="O65" s="117"/>
      <c r="P65" s="117"/>
      <c r="Q65" s="117"/>
      <c r="R65" s="117"/>
    </row>
    <row r="66" spans="1:18" ht="14.25" customHeight="1" x14ac:dyDescent="0.3">
      <c r="A66" s="117"/>
      <c r="B66" s="117"/>
      <c r="G66" s="117"/>
      <c r="H66" s="117"/>
      <c r="I66" s="117"/>
      <c r="J66" s="117"/>
      <c r="M66" s="117"/>
      <c r="N66" s="65"/>
      <c r="O66" s="117"/>
      <c r="P66" s="117"/>
      <c r="Q66" s="117"/>
      <c r="R66" s="117"/>
    </row>
    <row r="67" spans="1:18" ht="14.25" customHeight="1" x14ac:dyDescent="0.3">
      <c r="A67" s="117"/>
      <c r="B67" s="117"/>
      <c r="G67" s="117"/>
      <c r="H67" s="117"/>
      <c r="I67" s="117"/>
      <c r="J67" s="117"/>
      <c r="M67" s="117"/>
      <c r="N67" s="65"/>
      <c r="O67" s="117"/>
      <c r="P67" s="117"/>
      <c r="Q67" s="117"/>
      <c r="R67" s="117"/>
    </row>
    <row r="68" spans="1:18" ht="14.25" customHeight="1" x14ac:dyDescent="0.3">
      <c r="A68" s="117"/>
      <c r="B68" s="117"/>
      <c r="G68" s="117"/>
      <c r="H68" s="117"/>
      <c r="I68" s="117"/>
      <c r="J68" s="117"/>
      <c r="M68" s="117"/>
      <c r="N68" s="65"/>
      <c r="O68" s="117"/>
      <c r="P68" s="117"/>
      <c r="Q68" s="117"/>
      <c r="R68" s="117"/>
    </row>
    <row r="69" spans="1:18" ht="14.25" customHeight="1" x14ac:dyDescent="0.3">
      <c r="A69" s="117"/>
      <c r="B69" s="117"/>
      <c r="G69" s="117"/>
      <c r="H69" s="117"/>
      <c r="I69" s="117"/>
      <c r="J69" s="117"/>
      <c r="M69" s="117"/>
      <c r="N69" s="65"/>
      <c r="O69" s="117"/>
      <c r="P69" s="117"/>
      <c r="Q69" s="117"/>
      <c r="R69" s="117"/>
    </row>
    <row r="70" spans="1:18" ht="14.25" customHeight="1" x14ac:dyDescent="0.3">
      <c r="A70" s="117"/>
      <c r="B70" s="117"/>
      <c r="G70" s="117"/>
      <c r="H70" s="117"/>
      <c r="I70" s="117"/>
      <c r="J70" s="117"/>
      <c r="M70" s="117"/>
      <c r="N70" s="65"/>
      <c r="O70" s="117"/>
      <c r="P70" s="117"/>
      <c r="Q70" s="117"/>
      <c r="R70" s="117"/>
    </row>
    <row r="71" spans="1:18" ht="14.25" customHeight="1" x14ac:dyDescent="0.3">
      <c r="A71" s="117"/>
      <c r="B71" s="117"/>
      <c r="G71" s="117"/>
      <c r="H71" s="117"/>
      <c r="I71" s="117"/>
      <c r="J71" s="117"/>
      <c r="M71" s="117"/>
      <c r="N71" s="65"/>
      <c r="O71" s="117"/>
      <c r="P71" s="117"/>
      <c r="Q71" s="117"/>
      <c r="R71" s="117"/>
    </row>
    <row r="72" spans="1:18" ht="14.25" customHeight="1" x14ac:dyDescent="0.3">
      <c r="A72" s="117"/>
      <c r="B72" s="117"/>
      <c r="G72" s="117"/>
      <c r="H72" s="117"/>
      <c r="I72" s="117"/>
      <c r="J72" s="117"/>
      <c r="M72" s="117"/>
      <c r="N72" s="65"/>
      <c r="O72" s="117"/>
      <c r="P72" s="117"/>
      <c r="Q72" s="117"/>
      <c r="R72" s="117"/>
    </row>
    <row r="73" spans="1:18" ht="14.25" customHeight="1" x14ac:dyDescent="0.3">
      <c r="A73" s="117"/>
      <c r="B73" s="117"/>
      <c r="G73" s="117"/>
      <c r="H73" s="117"/>
      <c r="I73" s="117"/>
      <c r="J73" s="117"/>
      <c r="M73" s="117"/>
      <c r="N73" s="65"/>
      <c r="O73" s="117"/>
      <c r="P73" s="117"/>
      <c r="Q73" s="117"/>
      <c r="R73" s="117"/>
    </row>
    <row r="74" spans="1:18" ht="14.25" customHeight="1" x14ac:dyDescent="0.3">
      <c r="A74" s="117"/>
      <c r="B74" s="117"/>
      <c r="G74" s="117"/>
      <c r="H74" s="117"/>
      <c r="I74" s="117"/>
      <c r="J74" s="117"/>
      <c r="M74" s="117"/>
      <c r="N74" s="65"/>
      <c r="O74" s="117"/>
      <c r="P74" s="117"/>
      <c r="Q74" s="117"/>
      <c r="R74" s="117"/>
    </row>
    <row r="75" spans="1:18" ht="14.25" customHeight="1" x14ac:dyDescent="0.3">
      <c r="A75" s="117"/>
      <c r="B75" s="117"/>
      <c r="G75" s="117"/>
      <c r="H75" s="117"/>
      <c r="I75" s="117"/>
      <c r="J75" s="117"/>
      <c r="M75" s="117"/>
      <c r="N75" s="65"/>
      <c r="O75" s="117"/>
      <c r="P75" s="117"/>
      <c r="Q75" s="117"/>
      <c r="R75" s="117"/>
    </row>
    <row r="76" spans="1:18" ht="14.25" customHeight="1" x14ac:dyDescent="0.3">
      <c r="A76" s="116"/>
      <c r="B76" s="116"/>
      <c r="G76" s="116"/>
      <c r="H76" s="116"/>
      <c r="I76" s="116"/>
      <c r="J76" s="116"/>
      <c r="M76" s="116"/>
      <c r="N76" s="65"/>
      <c r="O76" s="116"/>
      <c r="P76" s="116"/>
      <c r="Q76" s="140"/>
      <c r="R76" s="116"/>
    </row>
    <row r="77" spans="1:18" ht="14.25" customHeight="1" x14ac:dyDescent="0.3">
      <c r="A77" s="117"/>
      <c r="B77" s="117"/>
      <c r="G77" s="117"/>
      <c r="H77" s="117"/>
      <c r="I77" s="117"/>
      <c r="J77" s="117"/>
      <c r="M77" s="117"/>
      <c r="N77" s="65"/>
      <c r="O77" s="117"/>
      <c r="P77" s="117"/>
      <c r="Q77" s="117"/>
      <c r="R77" s="117"/>
    </row>
    <row r="78" spans="1:18" ht="14.25" customHeight="1" x14ac:dyDescent="0.3">
      <c r="A78" s="117"/>
      <c r="B78" s="117"/>
      <c r="G78" s="117"/>
      <c r="H78" s="117"/>
      <c r="I78" s="117"/>
      <c r="J78" s="117"/>
      <c r="M78" s="117"/>
      <c r="N78" s="65"/>
      <c r="O78" s="117"/>
      <c r="P78" s="117"/>
      <c r="Q78" s="117"/>
      <c r="R78" s="117"/>
    </row>
    <row r="79" spans="1:18" ht="14.25" customHeight="1" x14ac:dyDescent="0.3">
      <c r="A79" s="117"/>
      <c r="B79" s="117"/>
      <c r="G79" s="117"/>
      <c r="H79" s="117"/>
      <c r="I79" s="117"/>
      <c r="J79" s="117"/>
      <c r="M79" s="117"/>
      <c r="N79" s="65"/>
      <c r="O79" s="117"/>
      <c r="P79" s="117"/>
      <c r="Q79" s="117"/>
      <c r="R79" s="117"/>
    </row>
    <row r="80" spans="1:18" ht="14.25" customHeight="1" x14ac:dyDescent="0.3">
      <c r="A80" s="117"/>
      <c r="B80" s="117"/>
      <c r="G80" s="117"/>
      <c r="H80" s="117"/>
      <c r="I80" s="117"/>
      <c r="J80" s="117"/>
      <c r="M80" s="117"/>
      <c r="N80" s="65"/>
      <c r="O80" s="117"/>
      <c r="P80" s="117"/>
      <c r="Q80" s="117"/>
      <c r="R80" s="117"/>
    </row>
    <row r="81" spans="1:18" ht="14.25" customHeight="1" x14ac:dyDescent="0.3">
      <c r="A81" s="117"/>
      <c r="B81" s="117"/>
      <c r="G81" s="117"/>
      <c r="H81" s="117"/>
      <c r="I81" s="117"/>
      <c r="J81" s="117"/>
      <c r="M81" s="117"/>
      <c r="N81" s="65"/>
      <c r="O81" s="117"/>
      <c r="P81" s="117"/>
      <c r="Q81" s="117"/>
      <c r="R81" s="117"/>
    </row>
    <row r="82" spans="1:18" ht="14.25" customHeight="1" x14ac:dyDescent="0.3">
      <c r="A82" s="117"/>
      <c r="B82" s="117"/>
      <c r="G82" s="117"/>
      <c r="H82" s="117"/>
      <c r="I82" s="117"/>
      <c r="J82" s="117"/>
      <c r="M82" s="117"/>
      <c r="N82" s="65"/>
      <c r="O82" s="117"/>
      <c r="P82" s="117"/>
      <c r="Q82" s="117"/>
      <c r="R82" s="117"/>
    </row>
    <row r="83" spans="1:18" ht="14.25" customHeight="1" x14ac:dyDescent="0.3">
      <c r="A83" s="117"/>
      <c r="B83" s="117"/>
      <c r="G83" s="117"/>
      <c r="H83" s="117"/>
      <c r="I83" s="117"/>
      <c r="J83" s="117"/>
      <c r="M83" s="117"/>
      <c r="N83" s="65"/>
      <c r="O83" s="117"/>
      <c r="P83" s="117"/>
      <c r="Q83" s="117"/>
      <c r="R83" s="117"/>
    </row>
    <row r="84" spans="1:18" ht="14.25" customHeight="1" x14ac:dyDescent="0.3">
      <c r="A84" s="117"/>
      <c r="B84" s="117"/>
      <c r="G84" s="117"/>
      <c r="H84" s="117"/>
      <c r="I84" s="117"/>
      <c r="J84" s="117"/>
      <c r="M84" s="117"/>
      <c r="N84" s="65"/>
      <c r="O84" s="117"/>
      <c r="P84" s="117"/>
      <c r="Q84" s="117"/>
      <c r="R84" s="117"/>
    </row>
    <row r="85" spans="1:18" ht="14.25" customHeight="1" x14ac:dyDescent="0.3">
      <c r="A85" s="117"/>
      <c r="B85" s="117"/>
      <c r="G85" s="117"/>
      <c r="H85" s="117"/>
      <c r="I85" s="117"/>
      <c r="J85" s="117"/>
      <c r="M85" s="117"/>
      <c r="N85" s="65"/>
      <c r="O85" s="117"/>
      <c r="P85" s="117"/>
      <c r="Q85" s="117"/>
      <c r="R85" s="117"/>
    </row>
    <row r="86" spans="1:18" ht="14.25" customHeight="1" x14ac:dyDescent="0.3">
      <c r="A86" s="117"/>
      <c r="B86" s="117"/>
      <c r="G86" s="117"/>
      <c r="H86" s="117"/>
      <c r="I86" s="117"/>
      <c r="J86" s="117"/>
      <c r="M86" s="117"/>
      <c r="N86" s="65"/>
      <c r="O86" s="117"/>
      <c r="P86" s="117"/>
      <c r="Q86" s="117"/>
      <c r="R86" s="117"/>
    </row>
    <row r="87" spans="1:18" ht="14.25" customHeight="1" x14ac:dyDescent="0.3">
      <c r="A87" s="117"/>
      <c r="B87" s="117"/>
      <c r="G87" s="117"/>
      <c r="H87" s="117"/>
      <c r="I87" s="117"/>
      <c r="J87" s="117"/>
      <c r="M87" s="117"/>
      <c r="N87" s="65"/>
      <c r="O87" s="117"/>
      <c r="P87" s="117"/>
      <c r="Q87" s="117"/>
      <c r="R87" s="117"/>
    </row>
    <row r="88" spans="1:18" ht="14.25" customHeight="1" x14ac:dyDescent="0.3">
      <c r="A88" s="117"/>
      <c r="B88" s="117"/>
      <c r="G88" s="117"/>
      <c r="H88" s="117"/>
      <c r="I88" s="117"/>
      <c r="J88" s="117"/>
      <c r="M88" s="117"/>
      <c r="N88" s="65"/>
      <c r="O88" s="117"/>
      <c r="P88" s="117"/>
      <c r="Q88" s="117"/>
      <c r="R88" s="117"/>
    </row>
    <row r="89" spans="1:18" ht="14.25" customHeight="1" x14ac:dyDescent="0.3"/>
    <row r="90" spans="1:18" ht="14.25" customHeight="1" x14ac:dyDescent="0.3"/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11">
    <mergeCell ref="BJ35:BJ47"/>
    <mergeCell ref="BL35:BL47"/>
    <mergeCell ref="BM35:BM47"/>
    <mergeCell ref="BN35:BN47"/>
    <mergeCell ref="AW35:AW47"/>
    <mergeCell ref="AY35:AY47"/>
    <mergeCell ref="BA35:BA47"/>
    <mergeCell ref="BB35:BB47"/>
    <mergeCell ref="BC35:BC47"/>
    <mergeCell ref="BD35:BD47"/>
    <mergeCell ref="BE35:BE47"/>
    <mergeCell ref="BG35:BG47"/>
    <mergeCell ref="BH35:BH47"/>
    <mergeCell ref="AK35:AK47"/>
    <mergeCell ref="AL35:AL47"/>
    <mergeCell ref="AN35:AN47"/>
    <mergeCell ref="AO35:AO47"/>
    <mergeCell ref="AQ35:AQ47"/>
    <mergeCell ref="AS35:AS47"/>
    <mergeCell ref="AT35:AT47"/>
    <mergeCell ref="AU35:AU47"/>
    <mergeCell ref="AV35:AV47"/>
    <mergeCell ref="Z35:Z47"/>
    <mergeCell ref="AA35:AA47"/>
    <mergeCell ref="AB35:AB47"/>
    <mergeCell ref="AC35:AC47"/>
    <mergeCell ref="AD35:AD47"/>
    <mergeCell ref="AF35:AF47"/>
    <mergeCell ref="AH35:AH47"/>
    <mergeCell ref="AI35:AI47"/>
    <mergeCell ref="AJ35:AJ47"/>
    <mergeCell ref="N35:N47"/>
    <mergeCell ref="O35:O47"/>
    <mergeCell ref="P35:P47"/>
    <mergeCell ref="Q35:Q47"/>
    <mergeCell ref="R35:R47"/>
    <mergeCell ref="T35:T47"/>
    <mergeCell ref="U35:U47"/>
    <mergeCell ref="V35:V47"/>
    <mergeCell ref="X35:X47"/>
    <mergeCell ref="A35:A47"/>
    <mergeCell ref="B35:B47"/>
    <mergeCell ref="D35:D47"/>
    <mergeCell ref="F35:F47"/>
    <mergeCell ref="G35:G47"/>
    <mergeCell ref="H35:H47"/>
    <mergeCell ref="I35:I47"/>
    <mergeCell ref="J35:J47"/>
    <mergeCell ref="L35:L47"/>
    <mergeCell ref="DI35:DI47"/>
    <mergeCell ref="DJ35:DJ47"/>
    <mergeCell ref="CQ35:CQ47"/>
    <mergeCell ref="CS35:CS47"/>
    <mergeCell ref="CT35:CT47"/>
    <mergeCell ref="CV35:CV47"/>
    <mergeCell ref="CX35:CX47"/>
    <mergeCell ref="CY35:CY47"/>
    <mergeCell ref="CZ35:CZ47"/>
    <mergeCell ref="CN35:CN47"/>
    <mergeCell ref="CO35:CO47"/>
    <mergeCell ref="CP35:CP47"/>
    <mergeCell ref="DA35:DA47"/>
    <mergeCell ref="DB35:DB47"/>
    <mergeCell ref="DD35:DD47"/>
    <mergeCell ref="DF35:DF47"/>
    <mergeCell ref="DG35:DG47"/>
    <mergeCell ref="DH35:DH47"/>
    <mergeCell ref="CA35:CA47"/>
    <mergeCell ref="CC35:CC47"/>
    <mergeCell ref="CE35:CE47"/>
    <mergeCell ref="CF35:CF47"/>
    <mergeCell ref="CG35:CG47"/>
    <mergeCell ref="CH35:CH47"/>
    <mergeCell ref="CI35:CI47"/>
    <mergeCell ref="CK35:CK47"/>
    <mergeCell ref="CM35:CM47"/>
    <mergeCell ref="BO35:BO47"/>
    <mergeCell ref="BP35:BP47"/>
    <mergeCell ref="BR35:BR47"/>
    <mergeCell ref="BT35:BT47"/>
    <mergeCell ref="BU35:BU47"/>
    <mergeCell ref="BV35:BV47"/>
    <mergeCell ref="BW35:BW47"/>
    <mergeCell ref="BX35:BX47"/>
    <mergeCell ref="BZ35:BZ47"/>
    <mergeCell ref="DB21:DB33"/>
    <mergeCell ref="DD21:DD33"/>
    <mergeCell ref="DF21:DF33"/>
    <mergeCell ref="DG21:DG33"/>
    <mergeCell ref="DH21:DH33"/>
    <mergeCell ref="DI21:DI33"/>
    <mergeCell ref="DJ21:DJ33"/>
    <mergeCell ref="CQ21:CQ33"/>
    <mergeCell ref="CS21:CS33"/>
    <mergeCell ref="CT21:CT33"/>
    <mergeCell ref="CV21:CV33"/>
    <mergeCell ref="CX21:CX33"/>
    <mergeCell ref="CY21:CY33"/>
    <mergeCell ref="CZ21:CZ33"/>
    <mergeCell ref="CG21:CG33"/>
    <mergeCell ref="CH21:CH33"/>
    <mergeCell ref="CI21:CI33"/>
    <mergeCell ref="CK21:CK33"/>
    <mergeCell ref="CM21:CM33"/>
    <mergeCell ref="CN21:CN33"/>
    <mergeCell ref="CO21:CO33"/>
    <mergeCell ref="CP21:CP33"/>
    <mergeCell ref="DA21:DA33"/>
    <mergeCell ref="BU21:BU33"/>
    <mergeCell ref="BV21:BV33"/>
    <mergeCell ref="BW21:BW33"/>
    <mergeCell ref="BX21:BX33"/>
    <mergeCell ref="BZ21:BZ33"/>
    <mergeCell ref="CA21:CA33"/>
    <mergeCell ref="CC21:CC33"/>
    <mergeCell ref="CE21:CE33"/>
    <mergeCell ref="CF21:CF33"/>
    <mergeCell ref="BH21:BH33"/>
    <mergeCell ref="BJ21:BJ33"/>
    <mergeCell ref="BL21:BL33"/>
    <mergeCell ref="BM21:BM33"/>
    <mergeCell ref="BN21:BN33"/>
    <mergeCell ref="BO21:BO33"/>
    <mergeCell ref="BP21:BP33"/>
    <mergeCell ref="BR21:BR33"/>
    <mergeCell ref="BT21:BT33"/>
    <mergeCell ref="AV21:AV33"/>
    <mergeCell ref="AW21:AW33"/>
    <mergeCell ref="AY21:AY33"/>
    <mergeCell ref="BA21:BA33"/>
    <mergeCell ref="BB21:BB33"/>
    <mergeCell ref="BC21:BC33"/>
    <mergeCell ref="BD21:BD33"/>
    <mergeCell ref="BE21:BE33"/>
    <mergeCell ref="BG21:BG33"/>
    <mergeCell ref="CV7:CV19"/>
    <mergeCell ref="CX7:CX19"/>
    <mergeCell ref="CM7:CM19"/>
    <mergeCell ref="CN7:CN19"/>
    <mergeCell ref="CO7:CO19"/>
    <mergeCell ref="CP7:CP19"/>
    <mergeCell ref="CQ7:CQ19"/>
    <mergeCell ref="CS7:CS19"/>
    <mergeCell ref="CT7:CT19"/>
    <mergeCell ref="BO7:BO19"/>
    <mergeCell ref="BP7:BP19"/>
    <mergeCell ref="BR7:BR19"/>
    <mergeCell ref="BT7:BT19"/>
    <mergeCell ref="BU7:BU19"/>
    <mergeCell ref="BV7:BV19"/>
    <mergeCell ref="CI7:CI19"/>
    <mergeCell ref="CK7:CK19"/>
    <mergeCell ref="BZ7:BZ19"/>
    <mergeCell ref="CA7:CA19"/>
    <mergeCell ref="CC7:CC19"/>
    <mergeCell ref="CE7:CE19"/>
    <mergeCell ref="CF7:CF19"/>
    <mergeCell ref="CG7:CG19"/>
    <mergeCell ref="CH7:CH19"/>
    <mergeCell ref="U5:U6"/>
    <mergeCell ref="V5:V6"/>
    <mergeCell ref="W5:Z5"/>
    <mergeCell ref="AB5:AD5"/>
    <mergeCell ref="AE5:AH5"/>
    <mergeCell ref="AN5:AN6"/>
    <mergeCell ref="AO5:AO6"/>
    <mergeCell ref="A5:A6"/>
    <mergeCell ref="B5:B6"/>
    <mergeCell ref="C5:F5"/>
    <mergeCell ref="H5:J5"/>
    <mergeCell ref="K5:N5"/>
    <mergeCell ref="P5:R5"/>
    <mergeCell ref="T5:T6"/>
    <mergeCell ref="BG49:BG61"/>
    <mergeCell ref="BH49:BH61"/>
    <mergeCell ref="BJ49:BJ61"/>
    <mergeCell ref="BL49:BL61"/>
    <mergeCell ref="BM49:BM61"/>
    <mergeCell ref="BN49:BN61"/>
    <mergeCell ref="A49:A61"/>
    <mergeCell ref="B49:B61"/>
    <mergeCell ref="D49:D61"/>
    <mergeCell ref="F49:F61"/>
    <mergeCell ref="G49:G61"/>
    <mergeCell ref="H49:H61"/>
    <mergeCell ref="I49:I61"/>
    <mergeCell ref="AU49:AU61"/>
    <mergeCell ref="AV49:AV61"/>
    <mergeCell ref="AW49:AW61"/>
    <mergeCell ref="AY49:AY61"/>
    <mergeCell ref="BA49:BA61"/>
    <mergeCell ref="BB49:BB61"/>
    <mergeCell ref="BC49:BC61"/>
    <mergeCell ref="BD49:BD61"/>
    <mergeCell ref="BE49:BE61"/>
    <mergeCell ref="Q76:Q88"/>
    <mergeCell ref="R76:R88"/>
    <mergeCell ref="A76:A88"/>
    <mergeCell ref="B76:B88"/>
    <mergeCell ref="G76:G88"/>
    <mergeCell ref="H76:H88"/>
    <mergeCell ref="I76:I88"/>
    <mergeCell ref="J76:J88"/>
    <mergeCell ref="M76:M88"/>
    <mergeCell ref="A63:A75"/>
    <mergeCell ref="B63:B75"/>
    <mergeCell ref="G63:G75"/>
    <mergeCell ref="H63:H75"/>
    <mergeCell ref="I63:I75"/>
    <mergeCell ref="J63:J75"/>
    <mergeCell ref="M63:M75"/>
    <mergeCell ref="O76:O88"/>
    <mergeCell ref="P76:P88"/>
    <mergeCell ref="DJ49:DJ61"/>
    <mergeCell ref="CQ49:CQ61"/>
    <mergeCell ref="CS49:CS61"/>
    <mergeCell ref="CT49:CT61"/>
    <mergeCell ref="CV49:CV61"/>
    <mergeCell ref="CX49:CX61"/>
    <mergeCell ref="CY49:CY61"/>
    <mergeCell ref="CZ49:CZ61"/>
    <mergeCell ref="O63:O75"/>
    <mergeCell ref="P63:P75"/>
    <mergeCell ref="Q63:Q75"/>
    <mergeCell ref="R63:R75"/>
    <mergeCell ref="O49:O61"/>
    <mergeCell ref="P49:P61"/>
    <mergeCell ref="Q49:Q61"/>
    <mergeCell ref="R49:R61"/>
    <mergeCell ref="T49:T61"/>
    <mergeCell ref="U49:U61"/>
    <mergeCell ref="V49:V61"/>
    <mergeCell ref="X49:X61"/>
    <mergeCell ref="Z49:Z61"/>
    <mergeCell ref="AA49:AA61"/>
    <mergeCell ref="AB49:AB61"/>
    <mergeCell ref="AC49:AC61"/>
    <mergeCell ref="CO49:CO61"/>
    <mergeCell ref="CP49:CP61"/>
    <mergeCell ref="DA49:DA61"/>
    <mergeCell ref="DB49:DB61"/>
    <mergeCell ref="DD49:DD61"/>
    <mergeCell ref="DF49:DF61"/>
    <mergeCell ref="DG49:DG61"/>
    <mergeCell ref="DH49:DH61"/>
    <mergeCell ref="DI49:DI61"/>
    <mergeCell ref="CC49:CC61"/>
    <mergeCell ref="CE49:CE61"/>
    <mergeCell ref="CF49:CF61"/>
    <mergeCell ref="CG49:CG61"/>
    <mergeCell ref="CH49:CH61"/>
    <mergeCell ref="CI49:CI61"/>
    <mergeCell ref="CK49:CK61"/>
    <mergeCell ref="CM49:CM61"/>
    <mergeCell ref="CN49:CN61"/>
    <mergeCell ref="BP49:BP61"/>
    <mergeCell ref="BR49:BR61"/>
    <mergeCell ref="BT49:BT61"/>
    <mergeCell ref="BU49:BU61"/>
    <mergeCell ref="BV49:BV61"/>
    <mergeCell ref="BW49:BW61"/>
    <mergeCell ref="BX49:BX61"/>
    <mergeCell ref="BZ49:BZ61"/>
    <mergeCell ref="CA49:CA61"/>
    <mergeCell ref="AU21:AU33"/>
    <mergeCell ref="A21:A33"/>
    <mergeCell ref="B21:B33"/>
    <mergeCell ref="D21:D33"/>
    <mergeCell ref="F21:F33"/>
    <mergeCell ref="G21:G33"/>
    <mergeCell ref="H21:H33"/>
    <mergeCell ref="I21:I33"/>
    <mergeCell ref="BO49:BO61"/>
    <mergeCell ref="J49:J61"/>
    <mergeCell ref="L49:L61"/>
    <mergeCell ref="N49:N61"/>
    <mergeCell ref="AD49:AD61"/>
    <mergeCell ref="AF49:AF61"/>
    <mergeCell ref="AH49:AH61"/>
    <mergeCell ref="AI49:AI61"/>
    <mergeCell ref="AJ49:AJ61"/>
    <mergeCell ref="AK49:AK61"/>
    <mergeCell ref="AL49:AL61"/>
    <mergeCell ref="AN49:AN61"/>
    <mergeCell ref="AO49:AO61"/>
    <mergeCell ref="AQ49:AQ61"/>
    <mergeCell ref="AS49:AS61"/>
    <mergeCell ref="AT49:AT61"/>
    <mergeCell ref="AI21:AI33"/>
    <mergeCell ref="AJ21:AJ33"/>
    <mergeCell ref="AK21:AK33"/>
    <mergeCell ref="AL21:AL33"/>
    <mergeCell ref="AN21:AN33"/>
    <mergeCell ref="AO21:AO33"/>
    <mergeCell ref="AQ21:AQ33"/>
    <mergeCell ref="AS21:AS33"/>
    <mergeCell ref="AT21:AT33"/>
    <mergeCell ref="V21:V33"/>
    <mergeCell ref="X21:X33"/>
    <mergeCell ref="Z21:Z33"/>
    <mergeCell ref="AA21:AA33"/>
    <mergeCell ref="AB21:AB33"/>
    <mergeCell ref="AC21:AC33"/>
    <mergeCell ref="AD21:AD33"/>
    <mergeCell ref="AF21:AF33"/>
    <mergeCell ref="AH21:AH33"/>
    <mergeCell ref="J21:J33"/>
    <mergeCell ref="L21:L33"/>
    <mergeCell ref="N21:N33"/>
    <mergeCell ref="O21:O33"/>
    <mergeCell ref="P21:P33"/>
    <mergeCell ref="Q21:Q33"/>
    <mergeCell ref="R21:R33"/>
    <mergeCell ref="T21:T33"/>
    <mergeCell ref="U21:U33"/>
    <mergeCell ref="AL7:AL19"/>
    <mergeCell ref="AN7:AN19"/>
    <mergeCell ref="AC7:AC19"/>
    <mergeCell ref="AD7:AD19"/>
    <mergeCell ref="AF7:AF19"/>
    <mergeCell ref="AH7:AH19"/>
    <mergeCell ref="AI7:AI19"/>
    <mergeCell ref="AJ7:AJ19"/>
    <mergeCell ref="AK7:AK19"/>
    <mergeCell ref="CZ5:DB5"/>
    <mergeCell ref="DF7:DF19"/>
    <mergeCell ref="DG7:DG19"/>
    <mergeCell ref="AY7:AY19"/>
    <mergeCell ref="BA7:BA19"/>
    <mergeCell ref="AO7:AO19"/>
    <mergeCell ref="AQ7:AQ19"/>
    <mergeCell ref="AS7:AS19"/>
    <mergeCell ref="AT7:AT19"/>
    <mergeCell ref="AU7:AU19"/>
    <mergeCell ref="AV7:AV19"/>
    <mergeCell ref="AW7:AW19"/>
    <mergeCell ref="BL7:BL19"/>
    <mergeCell ref="BM7:BM19"/>
    <mergeCell ref="BB7:BB19"/>
    <mergeCell ref="BC7:BC19"/>
    <mergeCell ref="BD7:BD19"/>
    <mergeCell ref="BE7:BE19"/>
    <mergeCell ref="BG7:BG19"/>
    <mergeCell ref="BH7:BH19"/>
    <mergeCell ref="BJ7:BJ19"/>
    <mergeCell ref="BW7:BW19"/>
    <mergeCell ref="BX7:BX19"/>
    <mergeCell ref="BN7:BN19"/>
    <mergeCell ref="BZ5:BZ6"/>
    <mergeCell ref="CA5:CA6"/>
    <mergeCell ref="CB5:CE5"/>
    <mergeCell ref="CG5:CI5"/>
    <mergeCell ref="CJ5:CM5"/>
    <mergeCell ref="CO5:CQ5"/>
    <mergeCell ref="CS5:CS6"/>
    <mergeCell ref="CT5:CT6"/>
    <mergeCell ref="CU5:CX5"/>
    <mergeCell ref="AU5:AW5"/>
    <mergeCell ref="AX5:BA5"/>
    <mergeCell ref="BC5:BE5"/>
    <mergeCell ref="BG5:BG6"/>
    <mergeCell ref="BH5:BH6"/>
    <mergeCell ref="BI5:BL5"/>
    <mergeCell ref="BN5:BP5"/>
    <mergeCell ref="BQ5:BT5"/>
    <mergeCell ref="BV5:BX5"/>
    <mergeCell ref="BQ4:BX4"/>
    <mergeCell ref="CB4:CI4"/>
    <mergeCell ref="CJ4:CQ4"/>
    <mergeCell ref="CU4:DB4"/>
    <mergeCell ref="DC4:DJ4"/>
    <mergeCell ref="C4:J4"/>
    <mergeCell ref="K4:R4"/>
    <mergeCell ref="W4:AD4"/>
    <mergeCell ref="AE4:AL4"/>
    <mergeCell ref="AP4:AW4"/>
    <mergeCell ref="AX4:BE4"/>
    <mergeCell ref="BI4:BP4"/>
    <mergeCell ref="N7:N19"/>
    <mergeCell ref="O7:O19"/>
    <mergeCell ref="P7:P19"/>
    <mergeCell ref="Q7:Q19"/>
    <mergeCell ref="R7:R19"/>
    <mergeCell ref="DH7:DH19"/>
    <mergeCell ref="DI7:DI19"/>
    <mergeCell ref="DC5:DF5"/>
    <mergeCell ref="DH5:DJ5"/>
    <mergeCell ref="CY7:CY19"/>
    <mergeCell ref="CZ7:CZ19"/>
    <mergeCell ref="DA7:DA19"/>
    <mergeCell ref="DB7:DB19"/>
    <mergeCell ref="DD7:DD19"/>
    <mergeCell ref="DJ7:DJ19"/>
    <mergeCell ref="T7:T19"/>
    <mergeCell ref="U7:U19"/>
    <mergeCell ref="V7:V19"/>
    <mergeCell ref="X7:X19"/>
    <mergeCell ref="Z7:Z19"/>
    <mergeCell ref="AA7:AA19"/>
    <mergeCell ref="AB7:AB19"/>
    <mergeCell ref="AJ5:AL5"/>
    <mergeCell ref="AP5:AS5"/>
    <mergeCell ref="A7:A19"/>
    <mergeCell ref="B7:B19"/>
    <mergeCell ref="D7:D19"/>
    <mergeCell ref="F7:F19"/>
    <mergeCell ref="G7:G19"/>
    <mergeCell ref="H7:H19"/>
    <mergeCell ref="I7:I19"/>
    <mergeCell ref="J7:J19"/>
    <mergeCell ref="L7:L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J1000"/>
  <sheetViews>
    <sheetView workbookViewId="0"/>
  </sheetViews>
  <sheetFormatPr defaultColWidth="14.44140625" defaultRowHeight="15" customHeight="1" x14ac:dyDescent="0.3"/>
  <cols>
    <col min="1" max="1" width="12.33203125" customWidth="1"/>
    <col min="2" max="2" width="35.109375" customWidth="1"/>
    <col min="3" max="3" width="14.33203125" customWidth="1"/>
    <col min="4" max="5" width="8.6640625" customWidth="1"/>
    <col min="6" max="6" width="19.88671875" customWidth="1"/>
    <col min="7" max="7" width="28.44140625" customWidth="1"/>
    <col min="8" max="8" width="19.88671875" customWidth="1"/>
    <col min="9" max="9" width="13.5546875" customWidth="1"/>
    <col min="10" max="13" width="8.6640625" customWidth="1"/>
    <col min="14" max="14" width="17.44140625" customWidth="1"/>
    <col min="15" max="16" width="8.6640625" customWidth="1"/>
    <col min="17" max="17" width="18.5546875" customWidth="1"/>
    <col min="18" max="19" width="8.6640625" customWidth="1"/>
    <col min="20" max="20" width="12.33203125" customWidth="1"/>
    <col min="21" max="21" width="28.33203125" customWidth="1"/>
    <col min="22" max="22" width="30.6640625" customWidth="1"/>
    <col min="23" max="28" width="8.6640625" customWidth="1"/>
    <col min="29" max="29" width="19.6640625" customWidth="1"/>
    <col min="30" max="33" width="8.6640625" customWidth="1"/>
    <col min="34" max="34" width="18.6640625" customWidth="1"/>
    <col min="35" max="36" width="8.6640625" customWidth="1"/>
    <col min="37" max="37" width="15.88671875" customWidth="1"/>
    <col min="38" max="39" width="8.6640625" customWidth="1"/>
    <col min="40" max="40" width="12.33203125" customWidth="1"/>
    <col min="41" max="41" width="30.6640625" customWidth="1"/>
    <col min="42" max="44" width="8.6640625" customWidth="1"/>
    <col min="45" max="45" width="15.6640625" customWidth="1"/>
    <col min="46" max="46" width="8.6640625" customWidth="1"/>
    <col min="47" max="47" width="13.44140625" customWidth="1"/>
    <col min="48" max="48" width="13.33203125" customWidth="1"/>
    <col min="49" max="52" width="8.6640625" customWidth="1"/>
    <col min="53" max="53" width="14.44140625" customWidth="1"/>
    <col min="54" max="55" width="8.6640625" customWidth="1"/>
    <col min="56" max="56" width="19" customWidth="1"/>
    <col min="57" max="58" width="8.6640625" customWidth="1"/>
    <col min="59" max="59" width="12.33203125" customWidth="1"/>
    <col min="60" max="60" width="30.6640625" customWidth="1"/>
    <col min="61" max="63" width="8.6640625" customWidth="1"/>
    <col min="64" max="64" width="14.6640625" customWidth="1"/>
    <col min="65" max="66" width="8.6640625" customWidth="1"/>
    <col min="67" max="67" width="15.44140625" customWidth="1"/>
    <col min="68" max="68" width="13.33203125" customWidth="1"/>
    <col min="69" max="71" width="8.6640625" customWidth="1"/>
    <col min="72" max="72" width="15.109375" customWidth="1"/>
    <col min="73" max="74" width="8.6640625" customWidth="1"/>
    <col min="75" max="75" width="18.6640625" customWidth="1"/>
    <col min="76" max="77" width="8.6640625" customWidth="1"/>
    <col min="78" max="78" width="12.33203125" customWidth="1"/>
    <col min="79" max="79" width="30.6640625" customWidth="1"/>
    <col min="80" max="82" width="8.6640625" customWidth="1"/>
    <col min="83" max="83" width="19" customWidth="1"/>
    <col min="84" max="84" width="27.44140625" customWidth="1"/>
    <col min="85" max="85" width="10.5546875" customWidth="1"/>
    <col min="86" max="86" width="16.6640625" customWidth="1"/>
    <col min="87" max="90" width="8.6640625" customWidth="1"/>
    <col min="91" max="91" width="19" customWidth="1"/>
    <col min="92" max="92" width="20.33203125" customWidth="1"/>
    <col min="93" max="93" width="11.109375" customWidth="1"/>
    <col min="94" max="94" width="16.6640625" customWidth="1"/>
    <col min="95" max="96" width="8.6640625" customWidth="1"/>
    <col min="97" max="97" width="12.33203125" customWidth="1"/>
    <col min="98" max="98" width="30.6640625" customWidth="1"/>
    <col min="99" max="101" width="8.6640625" customWidth="1"/>
    <col min="102" max="102" width="18.109375" customWidth="1"/>
    <col min="103" max="103" width="12.6640625" customWidth="1"/>
    <col min="104" max="104" width="14.6640625" customWidth="1"/>
    <col min="105" max="105" width="17.109375" customWidth="1"/>
    <col min="106" max="109" width="8.6640625" customWidth="1"/>
    <col min="110" max="110" width="13.88671875" customWidth="1"/>
    <col min="111" max="111" width="16.109375" customWidth="1"/>
    <col min="112" max="112" width="14.6640625" customWidth="1"/>
    <col min="113" max="113" width="13.5546875" customWidth="1"/>
    <col min="114" max="114" width="8.6640625" customWidth="1"/>
  </cols>
  <sheetData>
    <row r="1" spans="1:114" ht="14.25" customHeight="1" x14ac:dyDescent="0.3">
      <c r="A1" s="1" t="s">
        <v>0</v>
      </c>
      <c r="B1" s="2" t="s">
        <v>1</v>
      </c>
      <c r="T1" s="3"/>
      <c r="U1" s="1" t="s">
        <v>0</v>
      </c>
      <c r="V1" s="2" t="s">
        <v>1</v>
      </c>
      <c r="AN1" s="1" t="s">
        <v>0</v>
      </c>
      <c r="AO1" s="2" t="s">
        <v>1</v>
      </c>
      <c r="BG1" s="1" t="s">
        <v>0</v>
      </c>
      <c r="BH1" s="2" t="s">
        <v>1</v>
      </c>
      <c r="BZ1" s="1" t="s">
        <v>0</v>
      </c>
      <c r="CA1" s="2" t="s">
        <v>1</v>
      </c>
      <c r="CS1" s="1" t="s">
        <v>0</v>
      </c>
      <c r="CT1" s="2" t="s">
        <v>1</v>
      </c>
    </row>
    <row r="2" spans="1:114" ht="14.25" customHeight="1" x14ac:dyDescent="0.3">
      <c r="A2" s="4" t="s">
        <v>2</v>
      </c>
      <c r="B2" s="5" t="s">
        <v>3</v>
      </c>
      <c r="K2" s="6"/>
      <c r="L2" s="6"/>
      <c r="T2" s="3"/>
      <c r="U2" s="4" t="s">
        <v>2</v>
      </c>
      <c r="V2" s="5" t="s">
        <v>3</v>
      </c>
      <c r="AE2" s="6"/>
      <c r="AF2" s="6"/>
      <c r="AN2" s="4" t="s">
        <v>2</v>
      </c>
      <c r="AO2" s="5" t="s">
        <v>3</v>
      </c>
      <c r="AX2" s="6"/>
      <c r="AY2" s="6"/>
      <c r="BG2" s="4" t="s">
        <v>2</v>
      </c>
      <c r="BH2" s="5" t="s">
        <v>3</v>
      </c>
      <c r="BQ2" s="6"/>
      <c r="BR2" s="6"/>
      <c r="BZ2" s="4" t="s">
        <v>2</v>
      </c>
      <c r="CA2" s="5" t="s">
        <v>3</v>
      </c>
      <c r="CJ2" s="6"/>
      <c r="CK2" s="6"/>
      <c r="CS2" s="4" t="s">
        <v>2</v>
      </c>
      <c r="CT2" s="5" t="s">
        <v>3</v>
      </c>
      <c r="DC2" s="6"/>
      <c r="DD2" s="6"/>
    </row>
    <row r="3" spans="1:114" ht="67.5" customHeight="1" x14ac:dyDescent="0.3">
      <c r="A3" s="4" t="s">
        <v>4</v>
      </c>
      <c r="B3" s="5" t="s">
        <v>100</v>
      </c>
      <c r="T3" s="3"/>
      <c r="U3" s="4" t="s">
        <v>4</v>
      </c>
      <c r="V3" s="5" t="s">
        <v>100</v>
      </c>
      <c r="AN3" s="4" t="s">
        <v>4</v>
      </c>
      <c r="AO3" s="5" t="s">
        <v>100</v>
      </c>
      <c r="BG3" s="4" t="s">
        <v>4</v>
      </c>
      <c r="BH3" s="5" t="s">
        <v>100</v>
      </c>
      <c r="BZ3" s="4" t="s">
        <v>4</v>
      </c>
      <c r="CA3" s="5" t="s">
        <v>100</v>
      </c>
      <c r="CS3" s="4" t="s">
        <v>4</v>
      </c>
      <c r="CT3" s="5" t="s">
        <v>100</v>
      </c>
    </row>
    <row r="4" spans="1:114" ht="14.25" customHeight="1" x14ac:dyDescent="0.3">
      <c r="A4" s="7" t="s">
        <v>6</v>
      </c>
      <c r="B4" s="8" t="s">
        <v>7</v>
      </c>
      <c r="C4" s="118" t="s">
        <v>8</v>
      </c>
      <c r="D4" s="119"/>
      <c r="E4" s="119"/>
      <c r="F4" s="119"/>
      <c r="G4" s="119"/>
      <c r="H4" s="119"/>
      <c r="I4" s="119"/>
      <c r="J4" s="120"/>
      <c r="K4" s="118" t="s">
        <v>9</v>
      </c>
      <c r="L4" s="119"/>
      <c r="M4" s="119"/>
      <c r="N4" s="119"/>
      <c r="O4" s="119"/>
      <c r="P4" s="119"/>
      <c r="Q4" s="119"/>
      <c r="R4" s="120"/>
      <c r="T4" s="3"/>
      <c r="U4" s="7" t="s">
        <v>6</v>
      </c>
      <c r="V4" s="8" t="s">
        <v>11</v>
      </c>
      <c r="W4" s="118" t="s">
        <v>8</v>
      </c>
      <c r="X4" s="119"/>
      <c r="Y4" s="119"/>
      <c r="Z4" s="119"/>
      <c r="AA4" s="119"/>
      <c r="AB4" s="119"/>
      <c r="AC4" s="119"/>
      <c r="AD4" s="120"/>
      <c r="AE4" s="118" t="s">
        <v>9</v>
      </c>
      <c r="AF4" s="119"/>
      <c r="AG4" s="119"/>
      <c r="AH4" s="119"/>
      <c r="AI4" s="119"/>
      <c r="AJ4" s="119"/>
      <c r="AK4" s="119"/>
      <c r="AL4" s="120"/>
      <c r="AN4" s="7" t="s">
        <v>6</v>
      </c>
      <c r="AO4" s="8" t="s">
        <v>12</v>
      </c>
      <c r="AP4" s="118" t="s">
        <v>8</v>
      </c>
      <c r="AQ4" s="119"/>
      <c r="AR4" s="119"/>
      <c r="AS4" s="119"/>
      <c r="AT4" s="119"/>
      <c r="AU4" s="119"/>
      <c r="AV4" s="119"/>
      <c r="AW4" s="120"/>
      <c r="AX4" s="118" t="s">
        <v>9</v>
      </c>
      <c r="AY4" s="119"/>
      <c r="AZ4" s="119"/>
      <c r="BA4" s="119"/>
      <c r="BB4" s="119"/>
      <c r="BC4" s="119"/>
      <c r="BD4" s="119"/>
      <c r="BE4" s="120"/>
      <c r="BG4" s="7" t="s">
        <v>6</v>
      </c>
      <c r="BH4" s="8" t="s">
        <v>13</v>
      </c>
      <c r="BI4" s="118" t="s">
        <v>8</v>
      </c>
      <c r="BJ4" s="119"/>
      <c r="BK4" s="119"/>
      <c r="BL4" s="119"/>
      <c r="BM4" s="119"/>
      <c r="BN4" s="119"/>
      <c r="BO4" s="119"/>
      <c r="BP4" s="120"/>
      <c r="BQ4" s="118" t="s">
        <v>9</v>
      </c>
      <c r="BR4" s="119"/>
      <c r="BS4" s="119"/>
      <c r="BT4" s="119"/>
      <c r="BU4" s="119"/>
      <c r="BV4" s="119"/>
      <c r="BW4" s="119"/>
      <c r="BX4" s="120"/>
      <c r="BZ4" s="7" t="s">
        <v>6</v>
      </c>
      <c r="CA4" s="8" t="s">
        <v>14</v>
      </c>
      <c r="CB4" s="118" t="s">
        <v>8</v>
      </c>
      <c r="CC4" s="119"/>
      <c r="CD4" s="119"/>
      <c r="CE4" s="119"/>
      <c r="CF4" s="119"/>
      <c r="CG4" s="119"/>
      <c r="CH4" s="119"/>
      <c r="CI4" s="120"/>
      <c r="CJ4" s="118" t="s">
        <v>9</v>
      </c>
      <c r="CK4" s="119"/>
      <c r="CL4" s="119"/>
      <c r="CM4" s="119"/>
      <c r="CN4" s="119"/>
      <c r="CO4" s="119"/>
      <c r="CP4" s="119"/>
      <c r="CQ4" s="120"/>
      <c r="CS4" s="7" t="s">
        <v>6</v>
      </c>
      <c r="CT4" s="8" t="s">
        <v>10</v>
      </c>
      <c r="CU4" s="118" t="s">
        <v>8</v>
      </c>
      <c r="CV4" s="119"/>
      <c r="CW4" s="119"/>
      <c r="CX4" s="119"/>
      <c r="CY4" s="119"/>
      <c r="CZ4" s="119"/>
      <c r="DA4" s="119"/>
      <c r="DB4" s="120"/>
      <c r="DC4" s="118" t="s">
        <v>9</v>
      </c>
      <c r="DD4" s="119"/>
      <c r="DE4" s="119"/>
      <c r="DF4" s="119"/>
      <c r="DG4" s="119"/>
      <c r="DH4" s="119"/>
      <c r="DI4" s="119"/>
      <c r="DJ4" s="120"/>
    </row>
    <row r="5" spans="1:114" ht="14.25" customHeight="1" x14ac:dyDescent="0.3">
      <c r="A5" s="121" t="s">
        <v>15</v>
      </c>
      <c r="B5" s="123" t="s">
        <v>16</v>
      </c>
      <c r="C5" s="113" t="s">
        <v>17</v>
      </c>
      <c r="D5" s="114"/>
      <c r="E5" s="114"/>
      <c r="F5" s="115"/>
      <c r="G5" s="9" t="s">
        <v>18</v>
      </c>
      <c r="H5" s="113" t="s">
        <v>19</v>
      </c>
      <c r="I5" s="114"/>
      <c r="J5" s="115"/>
      <c r="K5" s="113" t="s">
        <v>17</v>
      </c>
      <c r="L5" s="114"/>
      <c r="M5" s="114"/>
      <c r="N5" s="115"/>
      <c r="O5" s="9" t="s">
        <v>18</v>
      </c>
      <c r="P5" s="113" t="s">
        <v>19</v>
      </c>
      <c r="Q5" s="114"/>
      <c r="R5" s="115"/>
      <c r="T5" s="123"/>
      <c r="U5" s="121" t="s">
        <v>15</v>
      </c>
      <c r="V5" s="123" t="s">
        <v>16</v>
      </c>
      <c r="W5" s="113" t="s">
        <v>17</v>
      </c>
      <c r="X5" s="114"/>
      <c r="Y5" s="114"/>
      <c r="Z5" s="115"/>
      <c r="AA5" s="9" t="s">
        <v>18</v>
      </c>
      <c r="AB5" s="113" t="s">
        <v>19</v>
      </c>
      <c r="AC5" s="114"/>
      <c r="AD5" s="115"/>
      <c r="AE5" s="113" t="s">
        <v>17</v>
      </c>
      <c r="AF5" s="114"/>
      <c r="AG5" s="114"/>
      <c r="AH5" s="115"/>
      <c r="AI5" s="9" t="s">
        <v>18</v>
      </c>
      <c r="AJ5" s="113" t="s">
        <v>19</v>
      </c>
      <c r="AK5" s="114"/>
      <c r="AL5" s="115"/>
      <c r="AN5" s="121" t="s">
        <v>15</v>
      </c>
      <c r="AO5" s="123" t="s">
        <v>16</v>
      </c>
      <c r="AP5" s="113" t="s">
        <v>17</v>
      </c>
      <c r="AQ5" s="114"/>
      <c r="AR5" s="114"/>
      <c r="AS5" s="115"/>
      <c r="AT5" s="9" t="s">
        <v>18</v>
      </c>
      <c r="AU5" s="113" t="s">
        <v>19</v>
      </c>
      <c r="AV5" s="114"/>
      <c r="AW5" s="115"/>
      <c r="AX5" s="113" t="s">
        <v>17</v>
      </c>
      <c r="AY5" s="114"/>
      <c r="AZ5" s="114"/>
      <c r="BA5" s="115"/>
      <c r="BB5" s="9" t="s">
        <v>18</v>
      </c>
      <c r="BC5" s="113" t="s">
        <v>19</v>
      </c>
      <c r="BD5" s="114"/>
      <c r="BE5" s="115"/>
      <c r="BG5" s="121" t="s">
        <v>15</v>
      </c>
      <c r="BH5" s="123" t="s">
        <v>16</v>
      </c>
      <c r="BI5" s="113" t="s">
        <v>17</v>
      </c>
      <c r="BJ5" s="114"/>
      <c r="BK5" s="114"/>
      <c r="BL5" s="115"/>
      <c r="BM5" s="9" t="s">
        <v>18</v>
      </c>
      <c r="BN5" s="113" t="s">
        <v>19</v>
      </c>
      <c r="BO5" s="114"/>
      <c r="BP5" s="115"/>
      <c r="BQ5" s="113" t="s">
        <v>17</v>
      </c>
      <c r="BR5" s="114"/>
      <c r="BS5" s="114"/>
      <c r="BT5" s="115"/>
      <c r="BU5" s="9" t="s">
        <v>18</v>
      </c>
      <c r="BV5" s="113" t="s">
        <v>19</v>
      </c>
      <c r="BW5" s="114"/>
      <c r="BX5" s="115"/>
      <c r="BZ5" s="121" t="s">
        <v>15</v>
      </c>
      <c r="CA5" s="123" t="s">
        <v>16</v>
      </c>
      <c r="CB5" s="113" t="s">
        <v>17</v>
      </c>
      <c r="CC5" s="114"/>
      <c r="CD5" s="114"/>
      <c r="CE5" s="115"/>
      <c r="CF5" s="9" t="s">
        <v>18</v>
      </c>
      <c r="CG5" s="113" t="s">
        <v>19</v>
      </c>
      <c r="CH5" s="114"/>
      <c r="CI5" s="115"/>
      <c r="CJ5" s="113" t="s">
        <v>17</v>
      </c>
      <c r="CK5" s="114"/>
      <c r="CL5" s="114"/>
      <c r="CM5" s="115"/>
      <c r="CN5" s="9" t="s">
        <v>18</v>
      </c>
      <c r="CO5" s="113" t="s">
        <v>19</v>
      </c>
      <c r="CP5" s="114"/>
      <c r="CQ5" s="115"/>
      <c r="CS5" s="121" t="s">
        <v>15</v>
      </c>
      <c r="CT5" s="123" t="s">
        <v>16</v>
      </c>
      <c r="CU5" s="113" t="s">
        <v>17</v>
      </c>
      <c r="CV5" s="114"/>
      <c r="CW5" s="114"/>
      <c r="CX5" s="115"/>
      <c r="CY5" s="9" t="s">
        <v>18</v>
      </c>
      <c r="CZ5" s="113" t="s">
        <v>19</v>
      </c>
      <c r="DA5" s="114"/>
      <c r="DB5" s="115"/>
      <c r="DC5" s="113" t="s">
        <v>17</v>
      </c>
      <c r="DD5" s="114"/>
      <c r="DE5" s="114"/>
      <c r="DF5" s="115"/>
      <c r="DG5" s="9" t="s">
        <v>18</v>
      </c>
      <c r="DH5" s="113" t="s">
        <v>19</v>
      </c>
      <c r="DI5" s="114"/>
      <c r="DJ5" s="115"/>
    </row>
    <row r="6" spans="1:114" ht="14.25" customHeight="1" x14ac:dyDescent="0.3">
      <c r="A6" s="122"/>
      <c r="B6" s="114"/>
      <c r="C6" s="9" t="s">
        <v>20</v>
      </c>
      <c r="D6" s="10" t="s">
        <v>21</v>
      </c>
      <c r="E6" s="10" t="s">
        <v>22</v>
      </c>
      <c r="F6" s="10" t="s">
        <v>23</v>
      </c>
      <c r="G6" s="10" t="s">
        <v>24</v>
      </c>
      <c r="H6" s="11" t="s">
        <v>25</v>
      </c>
      <c r="I6" s="9" t="s">
        <v>26</v>
      </c>
      <c r="J6" s="10" t="s">
        <v>27</v>
      </c>
      <c r="K6" s="9" t="s">
        <v>20</v>
      </c>
      <c r="L6" s="10" t="s">
        <v>21</v>
      </c>
      <c r="M6" s="10" t="s">
        <v>22</v>
      </c>
      <c r="N6" s="10" t="s">
        <v>23</v>
      </c>
      <c r="O6" s="10" t="s">
        <v>21</v>
      </c>
      <c r="P6" s="11" t="s">
        <v>25</v>
      </c>
      <c r="Q6" s="9" t="s">
        <v>26</v>
      </c>
      <c r="R6" s="10" t="s">
        <v>27</v>
      </c>
      <c r="T6" s="117"/>
      <c r="U6" s="122"/>
      <c r="V6" s="114"/>
      <c r="W6" s="9" t="s">
        <v>20</v>
      </c>
      <c r="X6" s="10" t="s">
        <v>21</v>
      </c>
      <c r="Y6" s="10" t="s">
        <v>22</v>
      </c>
      <c r="Z6" s="10" t="s">
        <v>23</v>
      </c>
      <c r="AA6" s="10" t="s">
        <v>24</v>
      </c>
      <c r="AB6" s="11" t="s">
        <v>25</v>
      </c>
      <c r="AC6" s="9" t="s">
        <v>26</v>
      </c>
      <c r="AD6" s="10" t="s">
        <v>27</v>
      </c>
      <c r="AE6" s="9" t="s">
        <v>20</v>
      </c>
      <c r="AF6" s="10" t="s">
        <v>21</v>
      </c>
      <c r="AG6" s="10" t="s">
        <v>22</v>
      </c>
      <c r="AH6" s="10" t="s">
        <v>23</v>
      </c>
      <c r="AI6" s="10" t="s">
        <v>21</v>
      </c>
      <c r="AJ6" s="11" t="s">
        <v>25</v>
      </c>
      <c r="AK6" s="9" t="s">
        <v>26</v>
      </c>
      <c r="AL6" s="10" t="s">
        <v>27</v>
      </c>
      <c r="AN6" s="122"/>
      <c r="AO6" s="114"/>
      <c r="AP6" s="9" t="s">
        <v>20</v>
      </c>
      <c r="AQ6" s="10" t="s">
        <v>21</v>
      </c>
      <c r="AR6" s="10" t="s">
        <v>22</v>
      </c>
      <c r="AS6" s="10" t="s">
        <v>23</v>
      </c>
      <c r="AT6" s="10" t="s">
        <v>24</v>
      </c>
      <c r="AU6" s="11" t="s">
        <v>25</v>
      </c>
      <c r="AV6" s="9" t="s">
        <v>26</v>
      </c>
      <c r="AW6" s="10" t="s">
        <v>27</v>
      </c>
      <c r="AX6" s="9" t="s">
        <v>20</v>
      </c>
      <c r="AY6" s="10" t="s">
        <v>21</v>
      </c>
      <c r="AZ6" s="10" t="s">
        <v>22</v>
      </c>
      <c r="BA6" s="10" t="s">
        <v>23</v>
      </c>
      <c r="BB6" s="10" t="s">
        <v>21</v>
      </c>
      <c r="BC6" s="11" t="s">
        <v>25</v>
      </c>
      <c r="BD6" s="9" t="s">
        <v>26</v>
      </c>
      <c r="BE6" s="10" t="s">
        <v>27</v>
      </c>
      <c r="BG6" s="122"/>
      <c r="BH6" s="114"/>
      <c r="BI6" s="9" t="s">
        <v>20</v>
      </c>
      <c r="BJ6" s="10" t="s">
        <v>21</v>
      </c>
      <c r="BK6" s="10" t="s">
        <v>22</v>
      </c>
      <c r="BL6" s="10" t="s">
        <v>23</v>
      </c>
      <c r="BM6" s="10" t="s">
        <v>24</v>
      </c>
      <c r="BN6" s="11" t="s">
        <v>25</v>
      </c>
      <c r="BO6" s="9" t="s">
        <v>26</v>
      </c>
      <c r="BP6" s="10" t="s">
        <v>27</v>
      </c>
      <c r="BQ6" s="9" t="s">
        <v>20</v>
      </c>
      <c r="BR6" s="10" t="s">
        <v>21</v>
      </c>
      <c r="BS6" s="10" t="s">
        <v>22</v>
      </c>
      <c r="BT6" s="10" t="s">
        <v>23</v>
      </c>
      <c r="BU6" s="10" t="s">
        <v>21</v>
      </c>
      <c r="BV6" s="11" t="s">
        <v>25</v>
      </c>
      <c r="BW6" s="9" t="s">
        <v>26</v>
      </c>
      <c r="BX6" s="10" t="s">
        <v>27</v>
      </c>
      <c r="BZ6" s="122"/>
      <c r="CA6" s="114"/>
      <c r="CB6" s="9" t="s">
        <v>20</v>
      </c>
      <c r="CC6" s="10" t="s">
        <v>21</v>
      </c>
      <c r="CD6" s="10" t="s">
        <v>22</v>
      </c>
      <c r="CE6" s="10" t="s">
        <v>23</v>
      </c>
      <c r="CF6" s="10" t="s">
        <v>24</v>
      </c>
      <c r="CG6" s="11" t="s">
        <v>25</v>
      </c>
      <c r="CH6" s="9" t="s">
        <v>26</v>
      </c>
      <c r="CI6" s="10" t="s">
        <v>27</v>
      </c>
      <c r="CJ6" s="9" t="s">
        <v>20</v>
      </c>
      <c r="CK6" s="10" t="s">
        <v>21</v>
      </c>
      <c r="CL6" s="10" t="s">
        <v>22</v>
      </c>
      <c r="CM6" s="10" t="s">
        <v>23</v>
      </c>
      <c r="CN6" s="10" t="s">
        <v>21</v>
      </c>
      <c r="CO6" s="11" t="s">
        <v>25</v>
      </c>
      <c r="CP6" s="9" t="s">
        <v>26</v>
      </c>
      <c r="CQ6" s="10" t="s">
        <v>27</v>
      </c>
      <c r="CS6" s="122"/>
      <c r="CT6" s="114"/>
      <c r="CU6" s="9" t="s">
        <v>20</v>
      </c>
      <c r="CV6" s="10" t="s">
        <v>21</v>
      </c>
      <c r="CW6" s="10" t="s">
        <v>22</v>
      </c>
      <c r="CX6" s="10" t="s">
        <v>23</v>
      </c>
      <c r="CY6" s="10" t="s">
        <v>24</v>
      </c>
      <c r="CZ6" s="11" t="s">
        <v>25</v>
      </c>
      <c r="DA6" s="9" t="s">
        <v>26</v>
      </c>
      <c r="DB6" s="10" t="s">
        <v>27</v>
      </c>
      <c r="DC6" s="9" t="s">
        <v>20</v>
      </c>
      <c r="DD6" s="10" t="s">
        <v>21</v>
      </c>
      <c r="DE6" s="10" t="s">
        <v>22</v>
      </c>
      <c r="DF6" s="10" t="s">
        <v>23</v>
      </c>
      <c r="DG6" s="10" t="s">
        <v>21</v>
      </c>
      <c r="DH6" s="11" t="s">
        <v>25</v>
      </c>
      <c r="DI6" s="9" t="s">
        <v>26</v>
      </c>
      <c r="DJ6" s="10" t="s">
        <v>27</v>
      </c>
    </row>
    <row r="7" spans="1:114" ht="14.25" customHeight="1" x14ac:dyDescent="0.3">
      <c r="A7" s="101">
        <v>1</v>
      </c>
      <c r="B7" s="104" t="s">
        <v>28</v>
      </c>
      <c r="C7" s="12" t="s">
        <v>29</v>
      </c>
      <c r="D7" s="104"/>
      <c r="E7" s="13"/>
      <c r="F7" s="107"/>
      <c r="G7" s="104"/>
      <c r="H7" s="104"/>
      <c r="I7" s="108">
        <v>0.25</v>
      </c>
      <c r="J7" s="109"/>
      <c r="K7" s="12" t="s">
        <v>29</v>
      </c>
      <c r="L7" s="104"/>
      <c r="M7" s="13"/>
      <c r="N7" s="112"/>
      <c r="O7" s="104"/>
      <c r="P7" s="104"/>
      <c r="Q7" s="108">
        <v>0.25</v>
      </c>
      <c r="R7" s="109"/>
      <c r="T7" s="116"/>
      <c r="U7" s="101">
        <v>1</v>
      </c>
      <c r="V7" s="104" t="s">
        <v>28</v>
      </c>
      <c r="W7" s="12" t="s">
        <v>29</v>
      </c>
      <c r="X7" s="104"/>
      <c r="Y7" s="13"/>
      <c r="Z7" s="107"/>
      <c r="AA7" s="104"/>
      <c r="AB7" s="104"/>
      <c r="AC7" s="108">
        <v>0.25</v>
      </c>
      <c r="AD7" s="109"/>
      <c r="AE7" s="12" t="s">
        <v>29</v>
      </c>
      <c r="AF7" s="104"/>
      <c r="AG7" s="13"/>
      <c r="AH7" s="112"/>
      <c r="AI7" s="104"/>
      <c r="AJ7" s="104"/>
      <c r="AK7" s="108">
        <v>0.25</v>
      </c>
      <c r="AL7" s="109"/>
      <c r="AN7" s="101">
        <v>1</v>
      </c>
      <c r="AO7" s="104" t="s">
        <v>28</v>
      </c>
      <c r="AP7" s="12" t="s">
        <v>29</v>
      </c>
      <c r="AQ7" s="104"/>
      <c r="AR7" s="13"/>
      <c r="AS7" s="107"/>
      <c r="AT7" s="104"/>
      <c r="AU7" s="104"/>
      <c r="AV7" s="108">
        <v>0.25</v>
      </c>
      <c r="AW7" s="109"/>
      <c r="AX7" s="12" t="s">
        <v>29</v>
      </c>
      <c r="AY7" s="104"/>
      <c r="AZ7" s="13"/>
      <c r="BA7" s="112"/>
      <c r="BB7" s="104"/>
      <c r="BC7" s="104"/>
      <c r="BD7" s="108">
        <v>0.25</v>
      </c>
      <c r="BE7" s="109"/>
      <c r="BG7" s="101">
        <v>1</v>
      </c>
      <c r="BH7" s="104" t="s">
        <v>28</v>
      </c>
      <c r="BI7" s="12" t="s">
        <v>29</v>
      </c>
      <c r="BJ7" s="104"/>
      <c r="BK7" s="13"/>
      <c r="BL7" s="107"/>
      <c r="BM7" s="104"/>
      <c r="BN7" s="104"/>
      <c r="BO7" s="108">
        <v>0.25</v>
      </c>
      <c r="BP7" s="109"/>
      <c r="BQ7" s="12" t="s">
        <v>29</v>
      </c>
      <c r="BR7" s="104"/>
      <c r="BS7" s="13"/>
      <c r="BT7" s="112"/>
      <c r="BU7" s="104"/>
      <c r="BV7" s="104"/>
      <c r="BW7" s="108">
        <v>0.25</v>
      </c>
      <c r="BX7" s="109"/>
      <c r="BZ7" s="101">
        <v>1</v>
      </c>
      <c r="CA7" s="104" t="s">
        <v>28</v>
      </c>
      <c r="CB7" s="12" t="s">
        <v>29</v>
      </c>
      <c r="CC7" s="104"/>
      <c r="CD7" s="13"/>
      <c r="CE7" s="107"/>
      <c r="CF7" s="104"/>
      <c r="CG7" s="104"/>
      <c r="CH7" s="108">
        <v>0.25</v>
      </c>
      <c r="CI7" s="109"/>
      <c r="CJ7" s="12" t="s">
        <v>29</v>
      </c>
      <c r="CK7" s="104"/>
      <c r="CL7" s="13"/>
      <c r="CM7" s="112"/>
      <c r="CN7" s="104"/>
      <c r="CO7" s="104"/>
      <c r="CP7" s="108">
        <v>0.25</v>
      </c>
      <c r="CQ7" s="109"/>
      <c r="CS7" s="101">
        <v>1</v>
      </c>
      <c r="CT7" s="104" t="s">
        <v>28</v>
      </c>
      <c r="CU7" s="12" t="s">
        <v>29</v>
      </c>
      <c r="CV7" s="104"/>
      <c r="CW7" s="13"/>
      <c r="CX7" s="107"/>
      <c r="CY7" s="104"/>
      <c r="CZ7" s="104"/>
      <c r="DA7" s="108">
        <v>0.25</v>
      </c>
      <c r="DB7" s="109"/>
      <c r="DC7" s="12" t="s">
        <v>29</v>
      </c>
      <c r="DD7" s="104"/>
      <c r="DE7" s="13"/>
      <c r="DF7" s="112"/>
      <c r="DG7" s="104"/>
      <c r="DH7" s="104"/>
      <c r="DI7" s="108">
        <v>0.25</v>
      </c>
      <c r="DJ7" s="109"/>
    </row>
    <row r="8" spans="1:114" ht="14.25" customHeight="1" x14ac:dyDescent="0.3">
      <c r="A8" s="102"/>
      <c r="B8" s="105"/>
      <c r="C8" s="18" t="s">
        <v>37</v>
      </c>
      <c r="D8" s="105"/>
      <c r="E8" s="19"/>
      <c r="F8" s="105"/>
      <c r="G8" s="105"/>
      <c r="H8" s="105"/>
      <c r="I8" s="105"/>
      <c r="J8" s="110"/>
      <c r="K8" s="18" t="s">
        <v>37</v>
      </c>
      <c r="L8" s="105"/>
      <c r="M8" s="19"/>
      <c r="N8" s="105"/>
      <c r="O8" s="105"/>
      <c r="P8" s="105"/>
      <c r="Q8" s="105"/>
      <c r="R8" s="110"/>
      <c r="T8" s="117"/>
      <c r="U8" s="102"/>
      <c r="V8" s="105"/>
      <c r="W8" s="18" t="s">
        <v>37</v>
      </c>
      <c r="X8" s="105"/>
      <c r="Y8" s="19"/>
      <c r="Z8" s="105"/>
      <c r="AA8" s="105"/>
      <c r="AB8" s="105"/>
      <c r="AC8" s="105"/>
      <c r="AD8" s="110"/>
      <c r="AE8" s="18" t="s">
        <v>37</v>
      </c>
      <c r="AF8" s="105"/>
      <c r="AG8" s="19"/>
      <c r="AH8" s="105"/>
      <c r="AI8" s="105"/>
      <c r="AJ8" s="105"/>
      <c r="AK8" s="105"/>
      <c r="AL8" s="110"/>
      <c r="AN8" s="102"/>
      <c r="AO8" s="105"/>
      <c r="AP8" s="18" t="s">
        <v>37</v>
      </c>
      <c r="AQ8" s="105"/>
      <c r="AR8" s="19"/>
      <c r="AS8" s="105"/>
      <c r="AT8" s="105"/>
      <c r="AU8" s="105"/>
      <c r="AV8" s="105"/>
      <c r="AW8" s="110"/>
      <c r="AX8" s="18" t="s">
        <v>37</v>
      </c>
      <c r="AY8" s="105"/>
      <c r="AZ8" s="19"/>
      <c r="BA8" s="105"/>
      <c r="BB8" s="105"/>
      <c r="BC8" s="105"/>
      <c r="BD8" s="105"/>
      <c r="BE8" s="110"/>
      <c r="BG8" s="102"/>
      <c r="BH8" s="105"/>
      <c r="BI8" s="18" t="s">
        <v>37</v>
      </c>
      <c r="BJ8" s="105"/>
      <c r="BK8" s="19"/>
      <c r="BL8" s="105"/>
      <c r="BM8" s="105"/>
      <c r="BN8" s="105"/>
      <c r="BO8" s="105"/>
      <c r="BP8" s="110"/>
      <c r="BQ8" s="18" t="s">
        <v>37</v>
      </c>
      <c r="BR8" s="105"/>
      <c r="BS8" s="19"/>
      <c r="BT8" s="105"/>
      <c r="BU8" s="105"/>
      <c r="BV8" s="105"/>
      <c r="BW8" s="105"/>
      <c r="BX8" s="110"/>
      <c r="BZ8" s="102"/>
      <c r="CA8" s="105"/>
      <c r="CB8" s="18" t="s">
        <v>37</v>
      </c>
      <c r="CC8" s="105"/>
      <c r="CD8" s="19"/>
      <c r="CE8" s="105"/>
      <c r="CF8" s="105"/>
      <c r="CG8" s="105"/>
      <c r="CH8" s="105"/>
      <c r="CI8" s="110"/>
      <c r="CJ8" s="18" t="s">
        <v>37</v>
      </c>
      <c r="CK8" s="105"/>
      <c r="CL8" s="19"/>
      <c r="CM8" s="105"/>
      <c r="CN8" s="105"/>
      <c r="CO8" s="105"/>
      <c r="CP8" s="105"/>
      <c r="CQ8" s="110"/>
      <c r="CS8" s="102"/>
      <c r="CT8" s="105"/>
      <c r="CU8" s="18" t="s">
        <v>37</v>
      </c>
      <c r="CV8" s="105"/>
      <c r="CW8" s="19"/>
      <c r="CX8" s="105"/>
      <c r="CY8" s="105"/>
      <c r="CZ8" s="105"/>
      <c r="DA8" s="105"/>
      <c r="DB8" s="110"/>
      <c r="DC8" s="18" t="s">
        <v>37</v>
      </c>
      <c r="DD8" s="105"/>
      <c r="DE8" s="19"/>
      <c r="DF8" s="105"/>
      <c r="DG8" s="105"/>
      <c r="DH8" s="105"/>
      <c r="DI8" s="105"/>
      <c r="DJ8" s="110"/>
    </row>
    <row r="9" spans="1:114" ht="14.25" customHeight="1" x14ac:dyDescent="0.3">
      <c r="A9" s="102"/>
      <c r="B9" s="105"/>
      <c r="C9" s="18" t="s">
        <v>38</v>
      </c>
      <c r="D9" s="105"/>
      <c r="E9" s="19"/>
      <c r="F9" s="105"/>
      <c r="G9" s="105"/>
      <c r="H9" s="105"/>
      <c r="I9" s="105"/>
      <c r="J9" s="110"/>
      <c r="K9" s="18" t="s">
        <v>38</v>
      </c>
      <c r="L9" s="105"/>
      <c r="M9" s="19"/>
      <c r="N9" s="105"/>
      <c r="O9" s="105"/>
      <c r="P9" s="105"/>
      <c r="Q9" s="105"/>
      <c r="R9" s="110"/>
      <c r="T9" s="117"/>
      <c r="U9" s="102"/>
      <c r="V9" s="105"/>
      <c r="W9" s="18" t="s">
        <v>38</v>
      </c>
      <c r="X9" s="105"/>
      <c r="Y9" s="19"/>
      <c r="Z9" s="105"/>
      <c r="AA9" s="105"/>
      <c r="AB9" s="105"/>
      <c r="AC9" s="105"/>
      <c r="AD9" s="110"/>
      <c r="AE9" s="18" t="s">
        <v>38</v>
      </c>
      <c r="AF9" s="105"/>
      <c r="AG9" s="19"/>
      <c r="AH9" s="105"/>
      <c r="AI9" s="105"/>
      <c r="AJ9" s="105"/>
      <c r="AK9" s="105"/>
      <c r="AL9" s="110"/>
      <c r="AN9" s="102"/>
      <c r="AO9" s="105"/>
      <c r="AP9" s="18" t="s">
        <v>38</v>
      </c>
      <c r="AQ9" s="105"/>
      <c r="AR9" s="19"/>
      <c r="AS9" s="105"/>
      <c r="AT9" s="105"/>
      <c r="AU9" s="105"/>
      <c r="AV9" s="105"/>
      <c r="AW9" s="110"/>
      <c r="AX9" s="18" t="s">
        <v>38</v>
      </c>
      <c r="AY9" s="105"/>
      <c r="AZ9" s="19"/>
      <c r="BA9" s="105"/>
      <c r="BB9" s="105"/>
      <c r="BC9" s="105"/>
      <c r="BD9" s="105"/>
      <c r="BE9" s="110"/>
      <c r="BG9" s="102"/>
      <c r="BH9" s="105"/>
      <c r="BI9" s="18" t="s">
        <v>38</v>
      </c>
      <c r="BJ9" s="105"/>
      <c r="BK9" s="19"/>
      <c r="BL9" s="105"/>
      <c r="BM9" s="105"/>
      <c r="BN9" s="105"/>
      <c r="BO9" s="105"/>
      <c r="BP9" s="110"/>
      <c r="BQ9" s="18" t="s">
        <v>38</v>
      </c>
      <c r="BR9" s="105"/>
      <c r="BS9" s="19"/>
      <c r="BT9" s="105"/>
      <c r="BU9" s="105"/>
      <c r="BV9" s="105"/>
      <c r="BW9" s="105"/>
      <c r="BX9" s="110"/>
      <c r="BZ9" s="102"/>
      <c r="CA9" s="105"/>
      <c r="CB9" s="18" t="s">
        <v>38</v>
      </c>
      <c r="CC9" s="105"/>
      <c r="CD9" s="19"/>
      <c r="CE9" s="105"/>
      <c r="CF9" s="105"/>
      <c r="CG9" s="105"/>
      <c r="CH9" s="105"/>
      <c r="CI9" s="110"/>
      <c r="CJ9" s="18" t="s">
        <v>38</v>
      </c>
      <c r="CK9" s="105"/>
      <c r="CL9" s="19"/>
      <c r="CM9" s="105"/>
      <c r="CN9" s="105"/>
      <c r="CO9" s="105"/>
      <c r="CP9" s="105"/>
      <c r="CQ9" s="110"/>
      <c r="CS9" s="102"/>
      <c r="CT9" s="105"/>
      <c r="CU9" s="18" t="s">
        <v>38</v>
      </c>
      <c r="CV9" s="105"/>
      <c r="CW9" s="19"/>
      <c r="CX9" s="105"/>
      <c r="CY9" s="105"/>
      <c r="CZ9" s="105"/>
      <c r="DA9" s="105"/>
      <c r="DB9" s="110"/>
      <c r="DC9" s="18" t="s">
        <v>38</v>
      </c>
      <c r="DD9" s="105"/>
      <c r="DE9" s="19"/>
      <c r="DF9" s="105"/>
      <c r="DG9" s="105"/>
      <c r="DH9" s="105"/>
      <c r="DI9" s="105"/>
      <c r="DJ9" s="110"/>
    </row>
    <row r="10" spans="1:114" ht="14.25" customHeight="1" x14ac:dyDescent="0.3">
      <c r="A10" s="102"/>
      <c r="B10" s="105"/>
      <c r="C10" s="18" t="s">
        <v>39</v>
      </c>
      <c r="D10" s="105"/>
      <c r="E10" s="19"/>
      <c r="F10" s="105"/>
      <c r="G10" s="105"/>
      <c r="H10" s="105"/>
      <c r="I10" s="105"/>
      <c r="J10" s="110"/>
      <c r="K10" s="18" t="s">
        <v>39</v>
      </c>
      <c r="L10" s="105"/>
      <c r="M10" s="19"/>
      <c r="N10" s="105"/>
      <c r="O10" s="105"/>
      <c r="P10" s="105"/>
      <c r="Q10" s="105"/>
      <c r="R10" s="110"/>
      <c r="T10" s="117"/>
      <c r="U10" s="102"/>
      <c r="V10" s="105"/>
      <c r="W10" s="18" t="s">
        <v>39</v>
      </c>
      <c r="X10" s="105"/>
      <c r="Y10" s="19"/>
      <c r="Z10" s="105"/>
      <c r="AA10" s="105"/>
      <c r="AB10" s="105"/>
      <c r="AC10" s="105"/>
      <c r="AD10" s="110"/>
      <c r="AE10" s="18" t="s">
        <v>39</v>
      </c>
      <c r="AF10" s="105"/>
      <c r="AG10" s="19"/>
      <c r="AH10" s="105"/>
      <c r="AI10" s="105"/>
      <c r="AJ10" s="105"/>
      <c r="AK10" s="105"/>
      <c r="AL10" s="110"/>
      <c r="AN10" s="102"/>
      <c r="AO10" s="105"/>
      <c r="AP10" s="18" t="s">
        <v>39</v>
      </c>
      <c r="AQ10" s="105"/>
      <c r="AR10" s="19"/>
      <c r="AS10" s="105"/>
      <c r="AT10" s="105"/>
      <c r="AU10" s="105"/>
      <c r="AV10" s="105"/>
      <c r="AW10" s="110"/>
      <c r="AX10" s="18" t="s">
        <v>39</v>
      </c>
      <c r="AY10" s="105"/>
      <c r="AZ10" s="19"/>
      <c r="BA10" s="105"/>
      <c r="BB10" s="105"/>
      <c r="BC10" s="105"/>
      <c r="BD10" s="105"/>
      <c r="BE10" s="110"/>
      <c r="BG10" s="102"/>
      <c r="BH10" s="105"/>
      <c r="BI10" s="18" t="s">
        <v>39</v>
      </c>
      <c r="BJ10" s="105"/>
      <c r="BK10" s="19"/>
      <c r="BL10" s="105"/>
      <c r="BM10" s="105"/>
      <c r="BN10" s="105"/>
      <c r="BO10" s="105"/>
      <c r="BP10" s="110"/>
      <c r="BQ10" s="18" t="s">
        <v>39</v>
      </c>
      <c r="BR10" s="105"/>
      <c r="BS10" s="19"/>
      <c r="BT10" s="105"/>
      <c r="BU10" s="105"/>
      <c r="BV10" s="105"/>
      <c r="BW10" s="105"/>
      <c r="BX10" s="110"/>
      <c r="BZ10" s="102"/>
      <c r="CA10" s="105"/>
      <c r="CB10" s="18" t="s">
        <v>39</v>
      </c>
      <c r="CC10" s="105"/>
      <c r="CD10" s="19"/>
      <c r="CE10" s="105"/>
      <c r="CF10" s="105"/>
      <c r="CG10" s="105"/>
      <c r="CH10" s="105"/>
      <c r="CI10" s="110"/>
      <c r="CJ10" s="18" t="s">
        <v>39</v>
      </c>
      <c r="CK10" s="105"/>
      <c r="CL10" s="19"/>
      <c r="CM10" s="105"/>
      <c r="CN10" s="105"/>
      <c r="CO10" s="105"/>
      <c r="CP10" s="105"/>
      <c r="CQ10" s="110"/>
      <c r="CS10" s="102"/>
      <c r="CT10" s="105"/>
      <c r="CU10" s="18" t="s">
        <v>39</v>
      </c>
      <c r="CV10" s="105"/>
      <c r="CW10" s="19"/>
      <c r="CX10" s="105"/>
      <c r="CY10" s="105"/>
      <c r="CZ10" s="105"/>
      <c r="DA10" s="105"/>
      <c r="DB10" s="110"/>
      <c r="DC10" s="18" t="s">
        <v>39</v>
      </c>
      <c r="DD10" s="105"/>
      <c r="DE10" s="19"/>
      <c r="DF10" s="105"/>
      <c r="DG10" s="105"/>
      <c r="DH10" s="105"/>
      <c r="DI10" s="105"/>
      <c r="DJ10" s="110"/>
    </row>
    <row r="11" spans="1:114" ht="14.25" customHeight="1" x14ac:dyDescent="0.3">
      <c r="A11" s="102"/>
      <c r="B11" s="105"/>
      <c r="C11" s="18" t="s">
        <v>40</v>
      </c>
      <c r="D11" s="105"/>
      <c r="E11" s="19"/>
      <c r="F11" s="105"/>
      <c r="G11" s="105"/>
      <c r="H11" s="105"/>
      <c r="I11" s="105"/>
      <c r="J11" s="110"/>
      <c r="K11" s="18" t="s">
        <v>40</v>
      </c>
      <c r="L11" s="105"/>
      <c r="M11" s="19"/>
      <c r="N11" s="105"/>
      <c r="O11" s="105"/>
      <c r="P11" s="105"/>
      <c r="Q11" s="105"/>
      <c r="R11" s="110"/>
      <c r="T11" s="117"/>
      <c r="U11" s="102"/>
      <c r="V11" s="105"/>
      <c r="W11" s="18" t="s">
        <v>40</v>
      </c>
      <c r="X11" s="105"/>
      <c r="Y11" s="19"/>
      <c r="Z11" s="105"/>
      <c r="AA11" s="105"/>
      <c r="AB11" s="105"/>
      <c r="AC11" s="105"/>
      <c r="AD11" s="110"/>
      <c r="AE11" s="18" t="s">
        <v>40</v>
      </c>
      <c r="AF11" s="105"/>
      <c r="AG11" s="19"/>
      <c r="AH11" s="105"/>
      <c r="AI11" s="105"/>
      <c r="AJ11" s="105"/>
      <c r="AK11" s="105"/>
      <c r="AL11" s="110"/>
      <c r="AN11" s="102"/>
      <c r="AO11" s="105"/>
      <c r="AP11" s="18" t="s">
        <v>40</v>
      </c>
      <c r="AQ11" s="105"/>
      <c r="AR11" s="19"/>
      <c r="AS11" s="105"/>
      <c r="AT11" s="105"/>
      <c r="AU11" s="105"/>
      <c r="AV11" s="105"/>
      <c r="AW11" s="110"/>
      <c r="AX11" s="18" t="s">
        <v>40</v>
      </c>
      <c r="AY11" s="105"/>
      <c r="AZ11" s="19"/>
      <c r="BA11" s="105"/>
      <c r="BB11" s="105"/>
      <c r="BC11" s="105"/>
      <c r="BD11" s="105"/>
      <c r="BE11" s="110"/>
      <c r="BG11" s="102"/>
      <c r="BH11" s="105"/>
      <c r="BI11" s="18" t="s">
        <v>40</v>
      </c>
      <c r="BJ11" s="105"/>
      <c r="BK11" s="19"/>
      <c r="BL11" s="105"/>
      <c r="BM11" s="105"/>
      <c r="BN11" s="105"/>
      <c r="BO11" s="105"/>
      <c r="BP11" s="110"/>
      <c r="BQ11" s="18" t="s">
        <v>40</v>
      </c>
      <c r="BR11" s="105"/>
      <c r="BS11" s="19"/>
      <c r="BT11" s="105"/>
      <c r="BU11" s="105"/>
      <c r="BV11" s="105"/>
      <c r="BW11" s="105"/>
      <c r="BX11" s="110"/>
      <c r="BZ11" s="102"/>
      <c r="CA11" s="105"/>
      <c r="CB11" s="18" t="s">
        <v>40</v>
      </c>
      <c r="CC11" s="105"/>
      <c r="CD11" s="19"/>
      <c r="CE11" s="105"/>
      <c r="CF11" s="105"/>
      <c r="CG11" s="105"/>
      <c r="CH11" s="105"/>
      <c r="CI11" s="110"/>
      <c r="CJ11" s="18" t="s">
        <v>40</v>
      </c>
      <c r="CK11" s="105"/>
      <c r="CL11" s="19"/>
      <c r="CM11" s="105"/>
      <c r="CN11" s="105"/>
      <c r="CO11" s="105"/>
      <c r="CP11" s="105"/>
      <c r="CQ11" s="110"/>
      <c r="CS11" s="102"/>
      <c r="CT11" s="105"/>
      <c r="CU11" s="18" t="s">
        <v>40</v>
      </c>
      <c r="CV11" s="105"/>
      <c r="CW11" s="19"/>
      <c r="CX11" s="105"/>
      <c r="CY11" s="105"/>
      <c r="CZ11" s="105"/>
      <c r="DA11" s="105"/>
      <c r="DB11" s="110"/>
      <c r="DC11" s="18" t="s">
        <v>40</v>
      </c>
      <c r="DD11" s="105"/>
      <c r="DE11" s="19"/>
      <c r="DF11" s="105"/>
      <c r="DG11" s="105"/>
      <c r="DH11" s="105"/>
      <c r="DI11" s="105"/>
      <c r="DJ11" s="110"/>
    </row>
    <row r="12" spans="1:114" ht="14.25" customHeight="1" x14ac:dyDescent="0.3">
      <c r="A12" s="102"/>
      <c r="B12" s="105"/>
      <c r="C12" s="18" t="s">
        <v>41</v>
      </c>
      <c r="D12" s="105"/>
      <c r="E12" s="19"/>
      <c r="F12" s="105"/>
      <c r="G12" s="105"/>
      <c r="H12" s="105"/>
      <c r="I12" s="105"/>
      <c r="J12" s="110"/>
      <c r="K12" s="18" t="s">
        <v>41</v>
      </c>
      <c r="L12" s="105"/>
      <c r="M12" s="19"/>
      <c r="N12" s="105"/>
      <c r="O12" s="105"/>
      <c r="P12" s="105"/>
      <c r="Q12" s="105"/>
      <c r="R12" s="110"/>
      <c r="T12" s="117"/>
      <c r="U12" s="102"/>
      <c r="V12" s="105"/>
      <c r="W12" s="18" t="s">
        <v>41</v>
      </c>
      <c r="X12" s="105"/>
      <c r="Y12" s="19"/>
      <c r="Z12" s="105"/>
      <c r="AA12" s="105"/>
      <c r="AB12" s="105"/>
      <c r="AC12" s="105"/>
      <c r="AD12" s="110"/>
      <c r="AE12" s="18" t="s">
        <v>41</v>
      </c>
      <c r="AF12" s="105"/>
      <c r="AG12" s="19"/>
      <c r="AH12" s="105"/>
      <c r="AI12" s="105"/>
      <c r="AJ12" s="105"/>
      <c r="AK12" s="105"/>
      <c r="AL12" s="110"/>
      <c r="AN12" s="102"/>
      <c r="AO12" s="105"/>
      <c r="AP12" s="18" t="s">
        <v>41</v>
      </c>
      <c r="AQ12" s="105"/>
      <c r="AR12" s="19"/>
      <c r="AS12" s="105"/>
      <c r="AT12" s="105"/>
      <c r="AU12" s="105"/>
      <c r="AV12" s="105"/>
      <c r="AW12" s="110"/>
      <c r="AX12" s="18" t="s">
        <v>41</v>
      </c>
      <c r="AY12" s="105"/>
      <c r="AZ12" s="19"/>
      <c r="BA12" s="105"/>
      <c r="BB12" s="105"/>
      <c r="BC12" s="105"/>
      <c r="BD12" s="105"/>
      <c r="BE12" s="110"/>
      <c r="BG12" s="102"/>
      <c r="BH12" s="105"/>
      <c r="BI12" s="18" t="s">
        <v>41</v>
      </c>
      <c r="BJ12" s="105"/>
      <c r="BK12" s="19"/>
      <c r="BL12" s="105"/>
      <c r="BM12" s="105"/>
      <c r="BN12" s="105"/>
      <c r="BO12" s="105"/>
      <c r="BP12" s="110"/>
      <c r="BQ12" s="18" t="s">
        <v>41</v>
      </c>
      <c r="BR12" s="105"/>
      <c r="BS12" s="19"/>
      <c r="BT12" s="105"/>
      <c r="BU12" s="105"/>
      <c r="BV12" s="105"/>
      <c r="BW12" s="105"/>
      <c r="BX12" s="110"/>
      <c r="BZ12" s="102"/>
      <c r="CA12" s="105"/>
      <c r="CB12" s="18" t="s">
        <v>41</v>
      </c>
      <c r="CC12" s="105"/>
      <c r="CD12" s="19"/>
      <c r="CE12" s="105"/>
      <c r="CF12" s="105"/>
      <c r="CG12" s="105"/>
      <c r="CH12" s="105"/>
      <c r="CI12" s="110"/>
      <c r="CJ12" s="18" t="s">
        <v>41</v>
      </c>
      <c r="CK12" s="105"/>
      <c r="CL12" s="19"/>
      <c r="CM12" s="105"/>
      <c r="CN12" s="105"/>
      <c r="CO12" s="105"/>
      <c r="CP12" s="105"/>
      <c r="CQ12" s="110"/>
      <c r="CS12" s="102"/>
      <c r="CT12" s="105"/>
      <c r="CU12" s="18" t="s">
        <v>41</v>
      </c>
      <c r="CV12" s="105"/>
      <c r="CW12" s="19"/>
      <c r="CX12" s="105"/>
      <c r="CY12" s="105"/>
      <c r="CZ12" s="105"/>
      <c r="DA12" s="105"/>
      <c r="DB12" s="110"/>
      <c r="DC12" s="18" t="s">
        <v>41</v>
      </c>
      <c r="DD12" s="105"/>
      <c r="DE12" s="19"/>
      <c r="DF12" s="105"/>
      <c r="DG12" s="105"/>
      <c r="DH12" s="105"/>
      <c r="DI12" s="105"/>
      <c r="DJ12" s="110"/>
    </row>
    <row r="13" spans="1:114" ht="14.25" customHeight="1" x14ac:dyDescent="0.3">
      <c r="A13" s="102"/>
      <c r="B13" s="105"/>
      <c r="C13" s="18" t="s">
        <v>42</v>
      </c>
      <c r="D13" s="105"/>
      <c r="E13" s="19"/>
      <c r="F13" s="105"/>
      <c r="G13" s="105"/>
      <c r="H13" s="105"/>
      <c r="I13" s="105"/>
      <c r="J13" s="110"/>
      <c r="K13" s="18" t="s">
        <v>42</v>
      </c>
      <c r="L13" s="105"/>
      <c r="M13" s="19"/>
      <c r="N13" s="105"/>
      <c r="O13" s="105"/>
      <c r="P13" s="105"/>
      <c r="Q13" s="105"/>
      <c r="R13" s="110"/>
      <c r="T13" s="117"/>
      <c r="U13" s="102"/>
      <c r="V13" s="105"/>
      <c r="W13" s="18" t="s">
        <v>42</v>
      </c>
      <c r="X13" s="105"/>
      <c r="Y13" s="19"/>
      <c r="Z13" s="105"/>
      <c r="AA13" s="105"/>
      <c r="AB13" s="105"/>
      <c r="AC13" s="105"/>
      <c r="AD13" s="110"/>
      <c r="AE13" s="18" t="s">
        <v>42</v>
      </c>
      <c r="AF13" s="105"/>
      <c r="AG13" s="19"/>
      <c r="AH13" s="105"/>
      <c r="AI13" s="105"/>
      <c r="AJ13" s="105"/>
      <c r="AK13" s="105"/>
      <c r="AL13" s="110"/>
      <c r="AN13" s="102"/>
      <c r="AO13" s="105"/>
      <c r="AP13" s="18" t="s">
        <v>42</v>
      </c>
      <c r="AQ13" s="105"/>
      <c r="AR13" s="19"/>
      <c r="AS13" s="105"/>
      <c r="AT13" s="105"/>
      <c r="AU13" s="105"/>
      <c r="AV13" s="105"/>
      <c r="AW13" s="110"/>
      <c r="AX13" s="18" t="s">
        <v>42</v>
      </c>
      <c r="AY13" s="105"/>
      <c r="AZ13" s="19"/>
      <c r="BA13" s="105"/>
      <c r="BB13" s="105"/>
      <c r="BC13" s="105"/>
      <c r="BD13" s="105"/>
      <c r="BE13" s="110"/>
      <c r="BG13" s="102"/>
      <c r="BH13" s="105"/>
      <c r="BI13" s="18" t="s">
        <v>42</v>
      </c>
      <c r="BJ13" s="105"/>
      <c r="BK13" s="19"/>
      <c r="BL13" s="105"/>
      <c r="BM13" s="105"/>
      <c r="BN13" s="105"/>
      <c r="BO13" s="105"/>
      <c r="BP13" s="110"/>
      <c r="BQ13" s="18" t="s">
        <v>42</v>
      </c>
      <c r="BR13" s="105"/>
      <c r="BS13" s="19"/>
      <c r="BT13" s="105"/>
      <c r="BU13" s="105"/>
      <c r="BV13" s="105"/>
      <c r="BW13" s="105"/>
      <c r="BX13" s="110"/>
      <c r="BZ13" s="102"/>
      <c r="CA13" s="105"/>
      <c r="CB13" s="18" t="s">
        <v>42</v>
      </c>
      <c r="CC13" s="105"/>
      <c r="CD13" s="19"/>
      <c r="CE13" s="105"/>
      <c r="CF13" s="105"/>
      <c r="CG13" s="105"/>
      <c r="CH13" s="105"/>
      <c r="CI13" s="110"/>
      <c r="CJ13" s="18" t="s">
        <v>42</v>
      </c>
      <c r="CK13" s="105"/>
      <c r="CL13" s="19"/>
      <c r="CM13" s="105"/>
      <c r="CN13" s="105"/>
      <c r="CO13" s="105"/>
      <c r="CP13" s="105"/>
      <c r="CQ13" s="110"/>
      <c r="CS13" s="102"/>
      <c r="CT13" s="105"/>
      <c r="CU13" s="18" t="s">
        <v>42</v>
      </c>
      <c r="CV13" s="105"/>
      <c r="CW13" s="19"/>
      <c r="CX13" s="105"/>
      <c r="CY13" s="105"/>
      <c r="CZ13" s="105"/>
      <c r="DA13" s="105"/>
      <c r="DB13" s="110"/>
      <c r="DC13" s="18" t="s">
        <v>42</v>
      </c>
      <c r="DD13" s="105"/>
      <c r="DE13" s="19"/>
      <c r="DF13" s="105"/>
      <c r="DG13" s="105"/>
      <c r="DH13" s="105"/>
      <c r="DI13" s="105"/>
      <c r="DJ13" s="110"/>
    </row>
    <row r="14" spans="1:114" ht="14.25" customHeight="1" x14ac:dyDescent="0.3">
      <c r="A14" s="102"/>
      <c r="B14" s="105"/>
      <c r="C14" s="18" t="s">
        <v>43</v>
      </c>
      <c r="D14" s="105"/>
      <c r="E14" s="19"/>
      <c r="F14" s="105"/>
      <c r="G14" s="105"/>
      <c r="H14" s="105"/>
      <c r="I14" s="105"/>
      <c r="J14" s="110"/>
      <c r="K14" s="18" t="s">
        <v>43</v>
      </c>
      <c r="L14" s="105"/>
      <c r="M14" s="19"/>
      <c r="N14" s="105"/>
      <c r="O14" s="105"/>
      <c r="P14" s="105"/>
      <c r="Q14" s="105"/>
      <c r="R14" s="110"/>
      <c r="T14" s="117"/>
      <c r="U14" s="102"/>
      <c r="V14" s="105"/>
      <c r="W14" s="18" t="s">
        <v>43</v>
      </c>
      <c r="X14" s="105"/>
      <c r="Y14" s="19"/>
      <c r="Z14" s="105"/>
      <c r="AA14" s="105"/>
      <c r="AB14" s="105"/>
      <c r="AC14" s="105"/>
      <c r="AD14" s="110"/>
      <c r="AE14" s="18" t="s">
        <v>43</v>
      </c>
      <c r="AF14" s="105"/>
      <c r="AG14" s="19"/>
      <c r="AH14" s="105"/>
      <c r="AI14" s="105"/>
      <c r="AJ14" s="105"/>
      <c r="AK14" s="105"/>
      <c r="AL14" s="110"/>
      <c r="AN14" s="102"/>
      <c r="AO14" s="105"/>
      <c r="AP14" s="18" t="s">
        <v>43</v>
      </c>
      <c r="AQ14" s="105"/>
      <c r="AR14" s="19"/>
      <c r="AS14" s="105"/>
      <c r="AT14" s="105"/>
      <c r="AU14" s="105"/>
      <c r="AV14" s="105"/>
      <c r="AW14" s="110"/>
      <c r="AX14" s="18" t="s">
        <v>43</v>
      </c>
      <c r="AY14" s="105"/>
      <c r="AZ14" s="19"/>
      <c r="BA14" s="105"/>
      <c r="BB14" s="105"/>
      <c r="BC14" s="105"/>
      <c r="BD14" s="105"/>
      <c r="BE14" s="110"/>
      <c r="BG14" s="102"/>
      <c r="BH14" s="105"/>
      <c r="BI14" s="18" t="s">
        <v>43</v>
      </c>
      <c r="BJ14" s="105"/>
      <c r="BK14" s="19"/>
      <c r="BL14" s="105"/>
      <c r="BM14" s="105"/>
      <c r="BN14" s="105"/>
      <c r="BO14" s="105"/>
      <c r="BP14" s="110"/>
      <c r="BQ14" s="18" t="s">
        <v>43</v>
      </c>
      <c r="BR14" s="105"/>
      <c r="BS14" s="19"/>
      <c r="BT14" s="105"/>
      <c r="BU14" s="105"/>
      <c r="BV14" s="105"/>
      <c r="BW14" s="105"/>
      <c r="BX14" s="110"/>
      <c r="BZ14" s="102"/>
      <c r="CA14" s="105"/>
      <c r="CB14" s="18" t="s">
        <v>43</v>
      </c>
      <c r="CC14" s="105"/>
      <c r="CD14" s="19"/>
      <c r="CE14" s="105"/>
      <c r="CF14" s="105"/>
      <c r="CG14" s="105"/>
      <c r="CH14" s="105"/>
      <c r="CI14" s="110"/>
      <c r="CJ14" s="18" t="s">
        <v>43</v>
      </c>
      <c r="CK14" s="105"/>
      <c r="CL14" s="19"/>
      <c r="CM14" s="105"/>
      <c r="CN14" s="105"/>
      <c r="CO14" s="105"/>
      <c r="CP14" s="105"/>
      <c r="CQ14" s="110"/>
      <c r="CS14" s="102"/>
      <c r="CT14" s="105"/>
      <c r="CU14" s="18" t="s">
        <v>43</v>
      </c>
      <c r="CV14" s="105"/>
      <c r="CW14" s="19"/>
      <c r="CX14" s="105"/>
      <c r="CY14" s="105"/>
      <c r="CZ14" s="105"/>
      <c r="DA14" s="105"/>
      <c r="DB14" s="110"/>
      <c r="DC14" s="18" t="s">
        <v>43</v>
      </c>
      <c r="DD14" s="105"/>
      <c r="DE14" s="19"/>
      <c r="DF14" s="105"/>
      <c r="DG14" s="105"/>
      <c r="DH14" s="105"/>
      <c r="DI14" s="105"/>
      <c r="DJ14" s="110"/>
    </row>
    <row r="15" spans="1:114" ht="14.25" customHeight="1" x14ac:dyDescent="0.3">
      <c r="A15" s="102"/>
      <c r="B15" s="105"/>
      <c r="C15" s="18" t="s">
        <v>44</v>
      </c>
      <c r="D15" s="105"/>
      <c r="E15" s="19"/>
      <c r="F15" s="105"/>
      <c r="G15" s="105"/>
      <c r="H15" s="105"/>
      <c r="I15" s="105"/>
      <c r="J15" s="110"/>
      <c r="K15" s="18" t="s">
        <v>44</v>
      </c>
      <c r="L15" s="105"/>
      <c r="M15" s="19"/>
      <c r="N15" s="105"/>
      <c r="O15" s="105"/>
      <c r="P15" s="105"/>
      <c r="Q15" s="105"/>
      <c r="R15" s="110"/>
      <c r="T15" s="117"/>
      <c r="U15" s="102"/>
      <c r="V15" s="105"/>
      <c r="W15" s="18" t="s">
        <v>44</v>
      </c>
      <c r="X15" s="105"/>
      <c r="Y15" s="19"/>
      <c r="Z15" s="105"/>
      <c r="AA15" s="105"/>
      <c r="AB15" s="105"/>
      <c r="AC15" s="105"/>
      <c r="AD15" s="110"/>
      <c r="AE15" s="18" t="s">
        <v>44</v>
      </c>
      <c r="AF15" s="105"/>
      <c r="AG15" s="19"/>
      <c r="AH15" s="105"/>
      <c r="AI15" s="105"/>
      <c r="AJ15" s="105"/>
      <c r="AK15" s="105"/>
      <c r="AL15" s="110"/>
      <c r="AN15" s="102"/>
      <c r="AO15" s="105"/>
      <c r="AP15" s="18" t="s">
        <v>44</v>
      </c>
      <c r="AQ15" s="105"/>
      <c r="AR15" s="19"/>
      <c r="AS15" s="105"/>
      <c r="AT15" s="105"/>
      <c r="AU15" s="105"/>
      <c r="AV15" s="105"/>
      <c r="AW15" s="110"/>
      <c r="AX15" s="18" t="s">
        <v>44</v>
      </c>
      <c r="AY15" s="105"/>
      <c r="AZ15" s="19"/>
      <c r="BA15" s="105"/>
      <c r="BB15" s="105"/>
      <c r="BC15" s="105"/>
      <c r="BD15" s="105"/>
      <c r="BE15" s="110"/>
      <c r="BG15" s="102"/>
      <c r="BH15" s="105"/>
      <c r="BI15" s="18" t="s">
        <v>44</v>
      </c>
      <c r="BJ15" s="105"/>
      <c r="BK15" s="19"/>
      <c r="BL15" s="105"/>
      <c r="BM15" s="105"/>
      <c r="BN15" s="105"/>
      <c r="BO15" s="105"/>
      <c r="BP15" s="110"/>
      <c r="BQ15" s="18" t="s">
        <v>44</v>
      </c>
      <c r="BR15" s="105"/>
      <c r="BS15" s="19"/>
      <c r="BT15" s="105"/>
      <c r="BU15" s="105"/>
      <c r="BV15" s="105"/>
      <c r="BW15" s="105"/>
      <c r="BX15" s="110"/>
      <c r="BZ15" s="102"/>
      <c r="CA15" s="105"/>
      <c r="CB15" s="18" t="s">
        <v>44</v>
      </c>
      <c r="CC15" s="105"/>
      <c r="CD15" s="19"/>
      <c r="CE15" s="105"/>
      <c r="CF15" s="105"/>
      <c r="CG15" s="105"/>
      <c r="CH15" s="105"/>
      <c r="CI15" s="110"/>
      <c r="CJ15" s="18" t="s">
        <v>44</v>
      </c>
      <c r="CK15" s="105"/>
      <c r="CL15" s="19"/>
      <c r="CM15" s="105"/>
      <c r="CN15" s="105"/>
      <c r="CO15" s="105"/>
      <c r="CP15" s="105"/>
      <c r="CQ15" s="110"/>
      <c r="CS15" s="102"/>
      <c r="CT15" s="105"/>
      <c r="CU15" s="18" t="s">
        <v>44</v>
      </c>
      <c r="CV15" s="105"/>
      <c r="CW15" s="19"/>
      <c r="CX15" s="105"/>
      <c r="CY15" s="105"/>
      <c r="CZ15" s="105"/>
      <c r="DA15" s="105"/>
      <c r="DB15" s="110"/>
      <c r="DC15" s="18" t="s">
        <v>44</v>
      </c>
      <c r="DD15" s="105"/>
      <c r="DE15" s="19"/>
      <c r="DF15" s="105"/>
      <c r="DG15" s="105"/>
      <c r="DH15" s="105"/>
      <c r="DI15" s="105"/>
      <c r="DJ15" s="110"/>
    </row>
    <row r="16" spans="1:114" ht="14.25" customHeight="1" x14ac:dyDescent="0.3">
      <c r="A16" s="102"/>
      <c r="B16" s="105"/>
      <c r="C16" s="18" t="s">
        <v>45</v>
      </c>
      <c r="D16" s="105"/>
      <c r="E16" s="19"/>
      <c r="F16" s="105"/>
      <c r="G16" s="105"/>
      <c r="H16" s="105"/>
      <c r="I16" s="105"/>
      <c r="J16" s="110"/>
      <c r="K16" s="18" t="s">
        <v>45</v>
      </c>
      <c r="L16" s="105"/>
      <c r="M16" s="19"/>
      <c r="N16" s="105"/>
      <c r="O16" s="105"/>
      <c r="P16" s="105"/>
      <c r="Q16" s="105"/>
      <c r="R16" s="110"/>
      <c r="T16" s="117"/>
      <c r="U16" s="102"/>
      <c r="V16" s="105"/>
      <c r="W16" s="18" t="s">
        <v>45</v>
      </c>
      <c r="X16" s="105"/>
      <c r="Y16" s="19"/>
      <c r="Z16" s="105"/>
      <c r="AA16" s="105"/>
      <c r="AB16" s="105"/>
      <c r="AC16" s="105"/>
      <c r="AD16" s="110"/>
      <c r="AE16" s="18" t="s">
        <v>45</v>
      </c>
      <c r="AF16" s="105"/>
      <c r="AG16" s="19"/>
      <c r="AH16" s="105"/>
      <c r="AI16" s="105"/>
      <c r="AJ16" s="105"/>
      <c r="AK16" s="105"/>
      <c r="AL16" s="110"/>
      <c r="AN16" s="102"/>
      <c r="AO16" s="105"/>
      <c r="AP16" s="18" t="s">
        <v>45</v>
      </c>
      <c r="AQ16" s="105"/>
      <c r="AR16" s="19"/>
      <c r="AS16" s="105"/>
      <c r="AT16" s="105"/>
      <c r="AU16" s="105"/>
      <c r="AV16" s="105"/>
      <c r="AW16" s="110"/>
      <c r="AX16" s="18" t="s">
        <v>45</v>
      </c>
      <c r="AY16" s="105"/>
      <c r="AZ16" s="19"/>
      <c r="BA16" s="105"/>
      <c r="BB16" s="105"/>
      <c r="BC16" s="105"/>
      <c r="BD16" s="105"/>
      <c r="BE16" s="110"/>
      <c r="BG16" s="102"/>
      <c r="BH16" s="105"/>
      <c r="BI16" s="18" t="s">
        <v>45</v>
      </c>
      <c r="BJ16" s="105"/>
      <c r="BK16" s="19"/>
      <c r="BL16" s="105"/>
      <c r="BM16" s="105"/>
      <c r="BN16" s="105"/>
      <c r="BO16" s="105"/>
      <c r="BP16" s="110"/>
      <c r="BQ16" s="18" t="s">
        <v>45</v>
      </c>
      <c r="BR16" s="105"/>
      <c r="BS16" s="19"/>
      <c r="BT16" s="105"/>
      <c r="BU16" s="105"/>
      <c r="BV16" s="105"/>
      <c r="BW16" s="105"/>
      <c r="BX16" s="110"/>
      <c r="BZ16" s="102"/>
      <c r="CA16" s="105"/>
      <c r="CB16" s="18" t="s">
        <v>45</v>
      </c>
      <c r="CC16" s="105"/>
      <c r="CD16" s="19"/>
      <c r="CE16" s="105"/>
      <c r="CF16" s="105"/>
      <c r="CG16" s="105"/>
      <c r="CH16" s="105"/>
      <c r="CI16" s="110"/>
      <c r="CJ16" s="18" t="s">
        <v>45</v>
      </c>
      <c r="CK16" s="105"/>
      <c r="CL16" s="19"/>
      <c r="CM16" s="105"/>
      <c r="CN16" s="105"/>
      <c r="CO16" s="105"/>
      <c r="CP16" s="105"/>
      <c r="CQ16" s="110"/>
      <c r="CS16" s="102"/>
      <c r="CT16" s="105"/>
      <c r="CU16" s="18" t="s">
        <v>45</v>
      </c>
      <c r="CV16" s="105"/>
      <c r="CW16" s="19"/>
      <c r="CX16" s="105"/>
      <c r="CY16" s="105"/>
      <c r="CZ16" s="105"/>
      <c r="DA16" s="105"/>
      <c r="DB16" s="110"/>
      <c r="DC16" s="18" t="s">
        <v>45</v>
      </c>
      <c r="DD16" s="105"/>
      <c r="DE16" s="19"/>
      <c r="DF16" s="105"/>
      <c r="DG16" s="105"/>
      <c r="DH16" s="105"/>
      <c r="DI16" s="105"/>
      <c r="DJ16" s="110"/>
    </row>
    <row r="17" spans="1:114" ht="14.25" customHeight="1" x14ac:dyDescent="0.3">
      <c r="A17" s="102"/>
      <c r="B17" s="105"/>
      <c r="C17" s="18" t="s">
        <v>46</v>
      </c>
      <c r="D17" s="105"/>
      <c r="E17" s="19"/>
      <c r="F17" s="105"/>
      <c r="G17" s="105"/>
      <c r="H17" s="105"/>
      <c r="I17" s="105"/>
      <c r="J17" s="110"/>
      <c r="K17" s="18" t="s">
        <v>46</v>
      </c>
      <c r="L17" s="105"/>
      <c r="M17" s="19"/>
      <c r="N17" s="105"/>
      <c r="O17" s="105"/>
      <c r="P17" s="105"/>
      <c r="Q17" s="105"/>
      <c r="R17" s="110"/>
      <c r="T17" s="117"/>
      <c r="U17" s="102"/>
      <c r="V17" s="105"/>
      <c r="W17" s="18" t="s">
        <v>46</v>
      </c>
      <c r="X17" s="105"/>
      <c r="Y17" s="19"/>
      <c r="Z17" s="105"/>
      <c r="AA17" s="105"/>
      <c r="AB17" s="105"/>
      <c r="AC17" s="105"/>
      <c r="AD17" s="110"/>
      <c r="AE17" s="18" t="s">
        <v>46</v>
      </c>
      <c r="AF17" s="105"/>
      <c r="AG17" s="19"/>
      <c r="AH17" s="105"/>
      <c r="AI17" s="105"/>
      <c r="AJ17" s="105"/>
      <c r="AK17" s="105"/>
      <c r="AL17" s="110"/>
      <c r="AN17" s="102"/>
      <c r="AO17" s="105"/>
      <c r="AP17" s="18" t="s">
        <v>46</v>
      </c>
      <c r="AQ17" s="105"/>
      <c r="AR17" s="19"/>
      <c r="AS17" s="105"/>
      <c r="AT17" s="105"/>
      <c r="AU17" s="105"/>
      <c r="AV17" s="105"/>
      <c r="AW17" s="110"/>
      <c r="AX17" s="18" t="s">
        <v>46</v>
      </c>
      <c r="AY17" s="105"/>
      <c r="AZ17" s="19"/>
      <c r="BA17" s="105"/>
      <c r="BB17" s="105"/>
      <c r="BC17" s="105"/>
      <c r="BD17" s="105"/>
      <c r="BE17" s="110"/>
      <c r="BG17" s="102"/>
      <c r="BH17" s="105"/>
      <c r="BI17" s="18" t="s">
        <v>46</v>
      </c>
      <c r="BJ17" s="105"/>
      <c r="BK17" s="19"/>
      <c r="BL17" s="105"/>
      <c r="BM17" s="105"/>
      <c r="BN17" s="105"/>
      <c r="BO17" s="105"/>
      <c r="BP17" s="110"/>
      <c r="BQ17" s="18" t="s">
        <v>46</v>
      </c>
      <c r="BR17" s="105"/>
      <c r="BS17" s="19"/>
      <c r="BT17" s="105"/>
      <c r="BU17" s="105"/>
      <c r="BV17" s="105"/>
      <c r="BW17" s="105"/>
      <c r="BX17" s="110"/>
      <c r="BZ17" s="102"/>
      <c r="CA17" s="105"/>
      <c r="CB17" s="18" t="s">
        <v>46</v>
      </c>
      <c r="CC17" s="105"/>
      <c r="CD17" s="19"/>
      <c r="CE17" s="105"/>
      <c r="CF17" s="105"/>
      <c r="CG17" s="105"/>
      <c r="CH17" s="105"/>
      <c r="CI17" s="110"/>
      <c r="CJ17" s="18" t="s">
        <v>46</v>
      </c>
      <c r="CK17" s="105"/>
      <c r="CL17" s="19"/>
      <c r="CM17" s="105"/>
      <c r="CN17" s="105"/>
      <c r="CO17" s="105"/>
      <c r="CP17" s="105"/>
      <c r="CQ17" s="110"/>
      <c r="CS17" s="102"/>
      <c r="CT17" s="105"/>
      <c r="CU17" s="18" t="s">
        <v>46</v>
      </c>
      <c r="CV17" s="105"/>
      <c r="CW17" s="19"/>
      <c r="CX17" s="105"/>
      <c r="CY17" s="105"/>
      <c r="CZ17" s="105"/>
      <c r="DA17" s="105"/>
      <c r="DB17" s="110"/>
      <c r="DC17" s="18" t="s">
        <v>46</v>
      </c>
      <c r="DD17" s="105"/>
      <c r="DE17" s="19"/>
      <c r="DF17" s="105"/>
      <c r="DG17" s="105"/>
      <c r="DH17" s="105"/>
      <c r="DI17" s="105"/>
      <c r="DJ17" s="110"/>
    </row>
    <row r="18" spans="1:114" ht="14.25" customHeight="1" x14ac:dyDescent="0.3">
      <c r="A18" s="102"/>
      <c r="B18" s="105"/>
      <c r="C18" s="18" t="s">
        <v>47</v>
      </c>
      <c r="D18" s="105"/>
      <c r="E18" s="19"/>
      <c r="F18" s="105"/>
      <c r="G18" s="105"/>
      <c r="H18" s="105"/>
      <c r="I18" s="105"/>
      <c r="J18" s="110"/>
      <c r="K18" s="18" t="s">
        <v>47</v>
      </c>
      <c r="L18" s="105"/>
      <c r="M18" s="19"/>
      <c r="N18" s="105"/>
      <c r="O18" s="105"/>
      <c r="P18" s="105"/>
      <c r="Q18" s="105"/>
      <c r="R18" s="110"/>
      <c r="T18" s="117"/>
      <c r="U18" s="102"/>
      <c r="V18" s="105"/>
      <c r="W18" s="18" t="s">
        <v>47</v>
      </c>
      <c r="X18" s="105"/>
      <c r="Y18" s="19"/>
      <c r="Z18" s="105"/>
      <c r="AA18" s="105"/>
      <c r="AB18" s="105"/>
      <c r="AC18" s="105"/>
      <c r="AD18" s="110"/>
      <c r="AE18" s="18" t="s">
        <v>47</v>
      </c>
      <c r="AF18" s="105"/>
      <c r="AG18" s="19"/>
      <c r="AH18" s="105"/>
      <c r="AI18" s="105"/>
      <c r="AJ18" s="105"/>
      <c r="AK18" s="105"/>
      <c r="AL18" s="110"/>
      <c r="AN18" s="102"/>
      <c r="AO18" s="105"/>
      <c r="AP18" s="18" t="s">
        <v>47</v>
      </c>
      <c r="AQ18" s="105"/>
      <c r="AR18" s="19"/>
      <c r="AS18" s="105"/>
      <c r="AT18" s="105"/>
      <c r="AU18" s="105"/>
      <c r="AV18" s="105"/>
      <c r="AW18" s="110"/>
      <c r="AX18" s="18" t="s">
        <v>47</v>
      </c>
      <c r="AY18" s="105"/>
      <c r="AZ18" s="19"/>
      <c r="BA18" s="105"/>
      <c r="BB18" s="105"/>
      <c r="BC18" s="105"/>
      <c r="BD18" s="105"/>
      <c r="BE18" s="110"/>
      <c r="BG18" s="102"/>
      <c r="BH18" s="105"/>
      <c r="BI18" s="18" t="s">
        <v>47</v>
      </c>
      <c r="BJ18" s="105"/>
      <c r="BK18" s="19"/>
      <c r="BL18" s="105"/>
      <c r="BM18" s="105"/>
      <c r="BN18" s="105"/>
      <c r="BO18" s="105"/>
      <c r="BP18" s="110"/>
      <c r="BQ18" s="18" t="s">
        <v>47</v>
      </c>
      <c r="BR18" s="105"/>
      <c r="BS18" s="19"/>
      <c r="BT18" s="105"/>
      <c r="BU18" s="105"/>
      <c r="BV18" s="105"/>
      <c r="BW18" s="105"/>
      <c r="BX18" s="110"/>
      <c r="BZ18" s="102"/>
      <c r="CA18" s="105"/>
      <c r="CB18" s="18" t="s">
        <v>47</v>
      </c>
      <c r="CC18" s="105"/>
      <c r="CD18" s="19"/>
      <c r="CE18" s="105"/>
      <c r="CF18" s="105"/>
      <c r="CG18" s="105"/>
      <c r="CH18" s="105"/>
      <c r="CI18" s="110"/>
      <c r="CJ18" s="18" t="s">
        <v>47</v>
      </c>
      <c r="CK18" s="105"/>
      <c r="CL18" s="19"/>
      <c r="CM18" s="105"/>
      <c r="CN18" s="105"/>
      <c r="CO18" s="105"/>
      <c r="CP18" s="105"/>
      <c r="CQ18" s="110"/>
      <c r="CS18" s="102"/>
      <c r="CT18" s="105"/>
      <c r="CU18" s="18" t="s">
        <v>47</v>
      </c>
      <c r="CV18" s="105"/>
      <c r="CW18" s="19"/>
      <c r="CX18" s="105"/>
      <c r="CY18" s="105"/>
      <c r="CZ18" s="105"/>
      <c r="DA18" s="105"/>
      <c r="DB18" s="110"/>
      <c r="DC18" s="18" t="s">
        <v>47</v>
      </c>
      <c r="DD18" s="105"/>
      <c r="DE18" s="19"/>
      <c r="DF18" s="105"/>
      <c r="DG18" s="105"/>
      <c r="DH18" s="105"/>
      <c r="DI18" s="105"/>
      <c r="DJ18" s="110"/>
    </row>
    <row r="19" spans="1:114" ht="14.25" customHeight="1" x14ac:dyDescent="0.3">
      <c r="A19" s="103"/>
      <c r="B19" s="106"/>
      <c r="C19" s="21" t="s">
        <v>48</v>
      </c>
      <c r="D19" s="106"/>
      <c r="E19" s="22"/>
      <c r="F19" s="106"/>
      <c r="G19" s="106"/>
      <c r="H19" s="106"/>
      <c r="I19" s="106"/>
      <c r="J19" s="111"/>
      <c r="K19" s="21" t="s">
        <v>48</v>
      </c>
      <c r="L19" s="106"/>
      <c r="M19" s="22"/>
      <c r="N19" s="106"/>
      <c r="O19" s="106"/>
      <c r="P19" s="106"/>
      <c r="Q19" s="106"/>
      <c r="R19" s="111"/>
      <c r="T19" s="117"/>
      <c r="U19" s="103"/>
      <c r="V19" s="106"/>
      <c r="W19" s="21" t="s">
        <v>48</v>
      </c>
      <c r="X19" s="106"/>
      <c r="Y19" s="22"/>
      <c r="Z19" s="106"/>
      <c r="AA19" s="106"/>
      <c r="AB19" s="106"/>
      <c r="AC19" s="106"/>
      <c r="AD19" s="111"/>
      <c r="AE19" s="21" t="s">
        <v>48</v>
      </c>
      <c r="AF19" s="106"/>
      <c r="AG19" s="22"/>
      <c r="AH19" s="106"/>
      <c r="AI19" s="106"/>
      <c r="AJ19" s="106"/>
      <c r="AK19" s="106"/>
      <c r="AL19" s="111"/>
      <c r="AN19" s="103"/>
      <c r="AO19" s="106"/>
      <c r="AP19" s="21" t="s">
        <v>48</v>
      </c>
      <c r="AQ19" s="106"/>
      <c r="AR19" s="22"/>
      <c r="AS19" s="106"/>
      <c r="AT19" s="106"/>
      <c r="AU19" s="106"/>
      <c r="AV19" s="106"/>
      <c r="AW19" s="111"/>
      <c r="AX19" s="21" t="s">
        <v>48</v>
      </c>
      <c r="AY19" s="106"/>
      <c r="AZ19" s="22"/>
      <c r="BA19" s="106"/>
      <c r="BB19" s="106"/>
      <c r="BC19" s="106"/>
      <c r="BD19" s="106"/>
      <c r="BE19" s="111"/>
      <c r="BG19" s="103"/>
      <c r="BH19" s="106"/>
      <c r="BI19" s="21" t="s">
        <v>48</v>
      </c>
      <c r="BJ19" s="106"/>
      <c r="BK19" s="22"/>
      <c r="BL19" s="106"/>
      <c r="BM19" s="106"/>
      <c r="BN19" s="106"/>
      <c r="BO19" s="106"/>
      <c r="BP19" s="111"/>
      <c r="BQ19" s="21" t="s">
        <v>48</v>
      </c>
      <c r="BR19" s="106"/>
      <c r="BS19" s="22"/>
      <c r="BT19" s="106"/>
      <c r="BU19" s="106"/>
      <c r="BV19" s="106"/>
      <c r="BW19" s="106"/>
      <c r="BX19" s="111"/>
      <c r="BZ19" s="103"/>
      <c r="CA19" s="106"/>
      <c r="CB19" s="21" t="s">
        <v>48</v>
      </c>
      <c r="CC19" s="106"/>
      <c r="CD19" s="22"/>
      <c r="CE19" s="106"/>
      <c r="CF19" s="106"/>
      <c r="CG19" s="106"/>
      <c r="CH19" s="106"/>
      <c r="CI19" s="111"/>
      <c r="CJ19" s="21" t="s">
        <v>48</v>
      </c>
      <c r="CK19" s="106"/>
      <c r="CL19" s="22"/>
      <c r="CM19" s="106"/>
      <c r="CN19" s="106"/>
      <c r="CO19" s="106"/>
      <c r="CP19" s="106"/>
      <c r="CQ19" s="111"/>
      <c r="CS19" s="103"/>
      <c r="CT19" s="106"/>
      <c r="CU19" s="21" t="s">
        <v>48</v>
      </c>
      <c r="CV19" s="106"/>
      <c r="CW19" s="22"/>
      <c r="CX19" s="106"/>
      <c r="CY19" s="106"/>
      <c r="CZ19" s="106"/>
      <c r="DA19" s="106"/>
      <c r="DB19" s="111"/>
      <c r="DC19" s="21" t="s">
        <v>48</v>
      </c>
      <c r="DD19" s="106"/>
      <c r="DE19" s="22"/>
      <c r="DF19" s="106"/>
      <c r="DG19" s="106"/>
      <c r="DH19" s="106"/>
      <c r="DI19" s="106"/>
      <c r="DJ19" s="111"/>
    </row>
    <row r="20" spans="1:114" ht="14.25" customHeight="1" x14ac:dyDescent="0.3">
      <c r="A20" s="101">
        <v>1</v>
      </c>
      <c r="B20" s="104" t="s">
        <v>28</v>
      </c>
      <c r="C20" s="12" t="s">
        <v>29</v>
      </c>
      <c r="D20" s="104"/>
      <c r="E20" s="13"/>
      <c r="F20" s="112"/>
      <c r="G20" s="104"/>
      <c r="H20" s="104"/>
      <c r="I20" s="108">
        <v>0.5</v>
      </c>
      <c r="J20" s="109"/>
      <c r="K20" s="12" t="s">
        <v>29</v>
      </c>
      <c r="L20" s="104"/>
      <c r="M20" s="13"/>
      <c r="N20" s="112"/>
      <c r="O20" s="104"/>
      <c r="P20" s="104"/>
      <c r="Q20" s="108">
        <v>0.5</v>
      </c>
      <c r="R20" s="109"/>
      <c r="T20" s="116"/>
      <c r="U20" s="101">
        <v>1</v>
      </c>
      <c r="V20" s="104" t="s">
        <v>28</v>
      </c>
      <c r="W20" s="12" t="s">
        <v>29</v>
      </c>
      <c r="X20" s="104"/>
      <c r="Y20" s="13"/>
      <c r="Z20" s="112"/>
      <c r="AA20" s="104"/>
      <c r="AB20" s="104"/>
      <c r="AC20" s="108">
        <v>0.5</v>
      </c>
      <c r="AD20" s="109"/>
      <c r="AE20" s="12" t="s">
        <v>29</v>
      </c>
      <c r="AF20" s="104"/>
      <c r="AG20" s="13"/>
      <c r="AH20" s="112"/>
      <c r="AI20" s="104"/>
      <c r="AJ20" s="104"/>
      <c r="AK20" s="108">
        <v>0.5</v>
      </c>
      <c r="AL20" s="109"/>
      <c r="AN20" s="101">
        <v>1</v>
      </c>
      <c r="AO20" s="104" t="s">
        <v>28</v>
      </c>
      <c r="AP20" s="12" t="s">
        <v>29</v>
      </c>
      <c r="AQ20" s="104"/>
      <c r="AR20" s="13"/>
      <c r="AS20" s="112"/>
      <c r="AT20" s="104"/>
      <c r="AU20" s="104"/>
      <c r="AV20" s="108">
        <v>0.5</v>
      </c>
      <c r="AW20" s="109"/>
      <c r="AX20" s="12" t="s">
        <v>29</v>
      </c>
      <c r="AY20" s="104"/>
      <c r="AZ20" s="13"/>
      <c r="BA20" s="112"/>
      <c r="BB20" s="104"/>
      <c r="BC20" s="104"/>
      <c r="BD20" s="108">
        <v>0.5</v>
      </c>
      <c r="BE20" s="109"/>
      <c r="BG20" s="101">
        <v>1</v>
      </c>
      <c r="BH20" s="104" t="s">
        <v>28</v>
      </c>
      <c r="BI20" s="12" t="s">
        <v>29</v>
      </c>
      <c r="BJ20" s="104"/>
      <c r="BK20" s="13"/>
      <c r="BL20" s="112"/>
      <c r="BM20" s="104"/>
      <c r="BN20" s="104"/>
      <c r="BO20" s="108">
        <v>0.5</v>
      </c>
      <c r="BP20" s="109"/>
      <c r="BQ20" s="12" t="s">
        <v>29</v>
      </c>
      <c r="BR20" s="104"/>
      <c r="BS20" s="13"/>
      <c r="BT20" s="112"/>
      <c r="BU20" s="104"/>
      <c r="BV20" s="104"/>
      <c r="BW20" s="108">
        <v>0.5</v>
      </c>
      <c r="BX20" s="109"/>
      <c r="BZ20" s="101">
        <v>1</v>
      </c>
      <c r="CA20" s="104" t="s">
        <v>28</v>
      </c>
      <c r="CB20" s="12" t="s">
        <v>29</v>
      </c>
      <c r="CC20" s="104"/>
      <c r="CD20" s="13"/>
      <c r="CE20" s="112"/>
      <c r="CF20" s="104"/>
      <c r="CG20" s="104"/>
      <c r="CH20" s="108">
        <v>0.5</v>
      </c>
      <c r="CI20" s="109"/>
      <c r="CJ20" s="12" t="s">
        <v>29</v>
      </c>
      <c r="CK20" s="104"/>
      <c r="CL20" s="13"/>
      <c r="CM20" s="112"/>
      <c r="CN20" s="104"/>
      <c r="CO20" s="104"/>
      <c r="CP20" s="108">
        <v>0.5</v>
      </c>
      <c r="CQ20" s="109"/>
      <c r="CS20" s="101">
        <v>1</v>
      </c>
      <c r="CT20" s="104" t="s">
        <v>28</v>
      </c>
      <c r="CU20" s="12" t="s">
        <v>29</v>
      </c>
      <c r="CV20" s="104"/>
      <c r="CW20" s="13"/>
      <c r="CX20" s="112"/>
      <c r="CY20" s="104"/>
      <c r="CZ20" s="104"/>
      <c r="DA20" s="108">
        <v>0.5</v>
      </c>
      <c r="DB20" s="109"/>
      <c r="DC20" s="12" t="s">
        <v>29</v>
      </c>
      <c r="DD20" s="104"/>
      <c r="DE20" s="13"/>
      <c r="DF20" s="112"/>
      <c r="DG20" s="104"/>
      <c r="DH20" s="104"/>
      <c r="DI20" s="108">
        <v>0.5</v>
      </c>
      <c r="DJ20" s="109"/>
    </row>
    <row r="21" spans="1:114" ht="14.25" customHeight="1" x14ac:dyDescent="0.3">
      <c r="A21" s="102"/>
      <c r="B21" s="105"/>
      <c r="C21" s="18" t="s">
        <v>37</v>
      </c>
      <c r="D21" s="105"/>
      <c r="E21" s="19"/>
      <c r="F21" s="105"/>
      <c r="G21" s="105"/>
      <c r="H21" s="105"/>
      <c r="I21" s="105"/>
      <c r="J21" s="110"/>
      <c r="K21" s="18" t="s">
        <v>37</v>
      </c>
      <c r="L21" s="105"/>
      <c r="M21" s="19"/>
      <c r="N21" s="105"/>
      <c r="O21" s="105"/>
      <c r="P21" s="105"/>
      <c r="Q21" s="105"/>
      <c r="R21" s="110"/>
      <c r="T21" s="117"/>
      <c r="U21" s="102"/>
      <c r="V21" s="105"/>
      <c r="W21" s="18" t="s">
        <v>37</v>
      </c>
      <c r="X21" s="105"/>
      <c r="Y21" s="19"/>
      <c r="Z21" s="105"/>
      <c r="AA21" s="105"/>
      <c r="AB21" s="105"/>
      <c r="AC21" s="105"/>
      <c r="AD21" s="110"/>
      <c r="AE21" s="18" t="s">
        <v>37</v>
      </c>
      <c r="AF21" s="105"/>
      <c r="AG21" s="19"/>
      <c r="AH21" s="105"/>
      <c r="AI21" s="105"/>
      <c r="AJ21" s="105"/>
      <c r="AK21" s="105"/>
      <c r="AL21" s="110"/>
      <c r="AN21" s="102"/>
      <c r="AO21" s="105"/>
      <c r="AP21" s="18" t="s">
        <v>37</v>
      </c>
      <c r="AQ21" s="105"/>
      <c r="AR21" s="19"/>
      <c r="AS21" s="105"/>
      <c r="AT21" s="105"/>
      <c r="AU21" s="105"/>
      <c r="AV21" s="105"/>
      <c r="AW21" s="110"/>
      <c r="AX21" s="18" t="s">
        <v>37</v>
      </c>
      <c r="AY21" s="105"/>
      <c r="AZ21" s="19"/>
      <c r="BA21" s="105"/>
      <c r="BB21" s="105"/>
      <c r="BC21" s="105"/>
      <c r="BD21" s="105"/>
      <c r="BE21" s="110"/>
      <c r="BG21" s="102"/>
      <c r="BH21" s="105"/>
      <c r="BI21" s="18" t="s">
        <v>37</v>
      </c>
      <c r="BJ21" s="105"/>
      <c r="BK21" s="19"/>
      <c r="BL21" s="105"/>
      <c r="BM21" s="105"/>
      <c r="BN21" s="105"/>
      <c r="BO21" s="105"/>
      <c r="BP21" s="110"/>
      <c r="BQ21" s="18" t="s">
        <v>37</v>
      </c>
      <c r="BR21" s="105"/>
      <c r="BS21" s="19"/>
      <c r="BT21" s="105"/>
      <c r="BU21" s="105"/>
      <c r="BV21" s="105"/>
      <c r="BW21" s="105"/>
      <c r="BX21" s="110"/>
      <c r="BZ21" s="102"/>
      <c r="CA21" s="105"/>
      <c r="CB21" s="18" t="s">
        <v>37</v>
      </c>
      <c r="CC21" s="105"/>
      <c r="CD21" s="19"/>
      <c r="CE21" s="105"/>
      <c r="CF21" s="105"/>
      <c r="CG21" s="105"/>
      <c r="CH21" s="105"/>
      <c r="CI21" s="110"/>
      <c r="CJ21" s="18" t="s">
        <v>37</v>
      </c>
      <c r="CK21" s="105"/>
      <c r="CL21" s="19"/>
      <c r="CM21" s="105"/>
      <c r="CN21" s="105"/>
      <c r="CO21" s="105"/>
      <c r="CP21" s="105"/>
      <c r="CQ21" s="110"/>
      <c r="CS21" s="102"/>
      <c r="CT21" s="105"/>
      <c r="CU21" s="18" t="s">
        <v>37</v>
      </c>
      <c r="CV21" s="105"/>
      <c r="CW21" s="19"/>
      <c r="CX21" s="105"/>
      <c r="CY21" s="105"/>
      <c r="CZ21" s="105"/>
      <c r="DA21" s="105"/>
      <c r="DB21" s="110"/>
      <c r="DC21" s="18" t="s">
        <v>37</v>
      </c>
      <c r="DD21" s="105"/>
      <c r="DE21" s="19"/>
      <c r="DF21" s="105"/>
      <c r="DG21" s="105"/>
      <c r="DH21" s="105"/>
      <c r="DI21" s="105"/>
      <c r="DJ21" s="110"/>
    </row>
    <row r="22" spans="1:114" ht="14.25" customHeight="1" x14ac:dyDescent="0.3">
      <c r="A22" s="102"/>
      <c r="B22" s="105"/>
      <c r="C22" s="18" t="s">
        <v>38</v>
      </c>
      <c r="D22" s="105"/>
      <c r="E22" s="19"/>
      <c r="F22" s="105"/>
      <c r="G22" s="105"/>
      <c r="H22" s="105"/>
      <c r="I22" s="105"/>
      <c r="J22" s="110"/>
      <c r="K22" s="18" t="s">
        <v>38</v>
      </c>
      <c r="L22" s="105"/>
      <c r="M22" s="19"/>
      <c r="N22" s="105"/>
      <c r="O22" s="105"/>
      <c r="P22" s="105"/>
      <c r="Q22" s="105"/>
      <c r="R22" s="110"/>
      <c r="T22" s="117"/>
      <c r="U22" s="102"/>
      <c r="V22" s="105"/>
      <c r="W22" s="18" t="s">
        <v>38</v>
      </c>
      <c r="X22" s="105"/>
      <c r="Y22" s="19"/>
      <c r="Z22" s="105"/>
      <c r="AA22" s="105"/>
      <c r="AB22" s="105"/>
      <c r="AC22" s="105"/>
      <c r="AD22" s="110"/>
      <c r="AE22" s="18" t="s">
        <v>38</v>
      </c>
      <c r="AF22" s="105"/>
      <c r="AG22" s="19"/>
      <c r="AH22" s="105"/>
      <c r="AI22" s="105"/>
      <c r="AJ22" s="105"/>
      <c r="AK22" s="105"/>
      <c r="AL22" s="110"/>
      <c r="AN22" s="102"/>
      <c r="AO22" s="105"/>
      <c r="AP22" s="18" t="s">
        <v>38</v>
      </c>
      <c r="AQ22" s="105"/>
      <c r="AR22" s="19"/>
      <c r="AS22" s="105"/>
      <c r="AT22" s="105"/>
      <c r="AU22" s="105"/>
      <c r="AV22" s="105"/>
      <c r="AW22" s="110"/>
      <c r="AX22" s="18" t="s">
        <v>38</v>
      </c>
      <c r="AY22" s="105"/>
      <c r="AZ22" s="19"/>
      <c r="BA22" s="105"/>
      <c r="BB22" s="105"/>
      <c r="BC22" s="105"/>
      <c r="BD22" s="105"/>
      <c r="BE22" s="110"/>
      <c r="BG22" s="102"/>
      <c r="BH22" s="105"/>
      <c r="BI22" s="18" t="s">
        <v>38</v>
      </c>
      <c r="BJ22" s="105"/>
      <c r="BK22" s="19"/>
      <c r="BL22" s="105"/>
      <c r="BM22" s="105"/>
      <c r="BN22" s="105"/>
      <c r="BO22" s="105"/>
      <c r="BP22" s="110"/>
      <c r="BQ22" s="18" t="s">
        <v>38</v>
      </c>
      <c r="BR22" s="105"/>
      <c r="BS22" s="19"/>
      <c r="BT22" s="105"/>
      <c r="BU22" s="105"/>
      <c r="BV22" s="105"/>
      <c r="BW22" s="105"/>
      <c r="BX22" s="110"/>
      <c r="BZ22" s="102"/>
      <c r="CA22" s="105"/>
      <c r="CB22" s="18" t="s">
        <v>38</v>
      </c>
      <c r="CC22" s="105"/>
      <c r="CD22" s="19"/>
      <c r="CE22" s="105"/>
      <c r="CF22" s="105"/>
      <c r="CG22" s="105"/>
      <c r="CH22" s="105"/>
      <c r="CI22" s="110"/>
      <c r="CJ22" s="18" t="s">
        <v>38</v>
      </c>
      <c r="CK22" s="105"/>
      <c r="CL22" s="19"/>
      <c r="CM22" s="105"/>
      <c r="CN22" s="105"/>
      <c r="CO22" s="105"/>
      <c r="CP22" s="105"/>
      <c r="CQ22" s="110"/>
      <c r="CS22" s="102"/>
      <c r="CT22" s="105"/>
      <c r="CU22" s="18" t="s">
        <v>38</v>
      </c>
      <c r="CV22" s="105"/>
      <c r="CW22" s="19"/>
      <c r="CX22" s="105"/>
      <c r="CY22" s="105"/>
      <c r="CZ22" s="105"/>
      <c r="DA22" s="105"/>
      <c r="DB22" s="110"/>
      <c r="DC22" s="18" t="s">
        <v>38</v>
      </c>
      <c r="DD22" s="105"/>
      <c r="DE22" s="19"/>
      <c r="DF22" s="105"/>
      <c r="DG22" s="105"/>
      <c r="DH22" s="105"/>
      <c r="DI22" s="105"/>
      <c r="DJ22" s="110"/>
    </row>
    <row r="23" spans="1:114" ht="14.25" customHeight="1" x14ac:dyDescent="0.3">
      <c r="A23" s="102"/>
      <c r="B23" s="105"/>
      <c r="C23" s="18" t="s">
        <v>39</v>
      </c>
      <c r="D23" s="105"/>
      <c r="E23" s="19"/>
      <c r="F23" s="105"/>
      <c r="G23" s="105"/>
      <c r="H23" s="105"/>
      <c r="I23" s="105"/>
      <c r="J23" s="110"/>
      <c r="K23" s="18" t="s">
        <v>39</v>
      </c>
      <c r="L23" s="105"/>
      <c r="M23" s="19"/>
      <c r="N23" s="105"/>
      <c r="O23" s="105"/>
      <c r="P23" s="105"/>
      <c r="Q23" s="105"/>
      <c r="R23" s="110"/>
      <c r="T23" s="117"/>
      <c r="U23" s="102"/>
      <c r="V23" s="105"/>
      <c r="W23" s="18" t="s">
        <v>39</v>
      </c>
      <c r="X23" s="105"/>
      <c r="Y23" s="19"/>
      <c r="Z23" s="105"/>
      <c r="AA23" s="105"/>
      <c r="AB23" s="105"/>
      <c r="AC23" s="105"/>
      <c r="AD23" s="110"/>
      <c r="AE23" s="18" t="s">
        <v>39</v>
      </c>
      <c r="AF23" s="105"/>
      <c r="AG23" s="19"/>
      <c r="AH23" s="105"/>
      <c r="AI23" s="105"/>
      <c r="AJ23" s="105"/>
      <c r="AK23" s="105"/>
      <c r="AL23" s="110"/>
      <c r="AN23" s="102"/>
      <c r="AO23" s="105"/>
      <c r="AP23" s="18" t="s">
        <v>39</v>
      </c>
      <c r="AQ23" s="105"/>
      <c r="AR23" s="19"/>
      <c r="AS23" s="105"/>
      <c r="AT23" s="105"/>
      <c r="AU23" s="105"/>
      <c r="AV23" s="105"/>
      <c r="AW23" s="110"/>
      <c r="AX23" s="18" t="s">
        <v>39</v>
      </c>
      <c r="AY23" s="105"/>
      <c r="AZ23" s="19"/>
      <c r="BA23" s="105"/>
      <c r="BB23" s="105"/>
      <c r="BC23" s="105"/>
      <c r="BD23" s="105"/>
      <c r="BE23" s="110"/>
      <c r="BG23" s="102"/>
      <c r="BH23" s="105"/>
      <c r="BI23" s="18" t="s">
        <v>39</v>
      </c>
      <c r="BJ23" s="105"/>
      <c r="BK23" s="19"/>
      <c r="BL23" s="105"/>
      <c r="BM23" s="105"/>
      <c r="BN23" s="105"/>
      <c r="BO23" s="105"/>
      <c r="BP23" s="110"/>
      <c r="BQ23" s="18" t="s">
        <v>39</v>
      </c>
      <c r="BR23" s="105"/>
      <c r="BS23" s="19"/>
      <c r="BT23" s="105"/>
      <c r="BU23" s="105"/>
      <c r="BV23" s="105"/>
      <c r="BW23" s="105"/>
      <c r="BX23" s="110"/>
      <c r="BZ23" s="102"/>
      <c r="CA23" s="105"/>
      <c r="CB23" s="18" t="s">
        <v>39</v>
      </c>
      <c r="CC23" s="105"/>
      <c r="CD23" s="19"/>
      <c r="CE23" s="105"/>
      <c r="CF23" s="105"/>
      <c r="CG23" s="105"/>
      <c r="CH23" s="105"/>
      <c r="CI23" s="110"/>
      <c r="CJ23" s="18" t="s">
        <v>39</v>
      </c>
      <c r="CK23" s="105"/>
      <c r="CL23" s="19"/>
      <c r="CM23" s="105"/>
      <c r="CN23" s="105"/>
      <c r="CO23" s="105"/>
      <c r="CP23" s="105"/>
      <c r="CQ23" s="110"/>
      <c r="CS23" s="102"/>
      <c r="CT23" s="105"/>
      <c r="CU23" s="18" t="s">
        <v>39</v>
      </c>
      <c r="CV23" s="105"/>
      <c r="CW23" s="19"/>
      <c r="CX23" s="105"/>
      <c r="CY23" s="105"/>
      <c r="CZ23" s="105"/>
      <c r="DA23" s="105"/>
      <c r="DB23" s="110"/>
      <c r="DC23" s="18" t="s">
        <v>39</v>
      </c>
      <c r="DD23" s="105"/>
      <c r="DE23" s="19"/>
      <c r="DF23" s="105"/>
      <c r="DG23" s="105"/>
      <c r="DH23" s="105"/>
      <c r="DI23" s="105"/>
      <c r="DJ23" s="110"/>
    </row>
    <row r="24" spans="1:114" ht="14.25" customHeight="1" x14ac:dyDescent="0.3">
      <c r="A24" s="102"/>
      <c r="B24" s="105"/>
      <c r="C24" s="18" t="s">
        <v>40</v>
      </c>
      <c r="D24" s="105"/>
      <c r="E24" s="19"/>
      <c r="F24" s="105"/>
      <c r="G24" s="105"/>
      <c r="H24" s="105"/>
      <c r="I24" s="105"/>
      <c r="J24" s="110"/>
      <c r="K24" s="18" t="s">
        <v>40</v>
      </c>
      <c r="L24" s="105"/>
      <c r="M24" s="19"/>
      <c r="N24" s="105"/>
      <c r="O24" s="105"/>
      <c r="P24" s="105"/>
      <c r="Q24" s="105"/>
      <c r="R24" s="110"/>
      <c r="T24" s="117"/>
      <c r="U24" s="102"/>
      <c r="V24" s="105"/>
      <c r="W24" s="18" t="s">
        <v>40</v>
      </c>
      <c r="X24" s="105"/>
      <c r="Y24" s="19"/>
      <c r="Z24" s="105"/>
      <c r="AA24" s="105"/>
      <c r="AB24" s="105"/>
      <c r="AC24" s="105"/>
      <c r="AD24" s="110"/>
      <c r="AE24" s="18" t="s">
        <v>40</v>
      </c>
      <c r="AF24" s="105"/>
      <c r="AG24" s="19"/>
      <c r="AH24" s="105"/>
      <c r="AI24" s="105"/>
      <c r="AJ24" s="105"/>
      <c r="AK24" s="105"/>
      <c r="AL24" s="110"/>
      <c r="AN24" s="102"/>
      <c r="AO24" s="105"/>
      <c r="AP24" s="18" t="s">
        <v>40</v>
      </c>
      <c r="AQ24" s="105"/>
      <c r="AR24" s="19"/>
      <c r="AS24" s="105"/>
      <c r="AT24" s="105"/>
      <c r="AU24" s="105"/>
      <c r="AV24" s="105"/>
      <c r="AW24" s="110"/>
      <c r="AX24" s="18" t="s">
        <v>40</v>
      </c>
      <c r="AY24" s="105"/>
      <c r="AZ24" s="19"/>
      <c r="BA24" s="105"/>
      <c r="BB24" s="105"/>
      <c r="BC24" s="105"/>
      <c r="BD24" s="105"/>
      <c r="BE24" s="110"/>
      <c r="BG24" s="102"/>
      <c r="BH24" s="105"/>
      <c r="BI24" s="18" t="s">
        <v>40</v>
      </c>
      <c r="BJ24" s="105"/>
      <c r="BK24" s="19"/>
      <c r="BL24" s="105"/>
      <c r="BM24" s="105"/>
      <c r="BN24" s="105"/>
      <c r="BO24" s="105"/>
      <c r="BP24" s="110"/>
      <c r="BQ24" s="18" t="s">
        <v>40</v>
      </c>
      <c r="BR24" s="105"/>
      <c r="BS24" s="19"/>
      <c r="BT24" s="105"/>
      <c r="BU24" s="105"/>
      <c r="BV24" s="105"/>
      <c r="BW24" s="105"/>
      <c r="BX24" s="110"/>
      <c r="BZ24" s="102"/>
      <c r="CA24" s="105"/>
      <c r="CB24" s="18" t="s">
        <v>40</v>
      </c>
      <c r="CC24" s="105"/>
      <c r="CD24" s="19"/>
      <c r="CE24" s="105"/>
      <c r="CF24" s="105"/>
      <c r="CG24" s="105"/>
      <c r="CH24" s="105"/>
      <c r="CI24" s="110"/>
      <c r="CJ24" s="18" t="s">
        <v>40</v>
      </c>
      <c r="CK24" s="105"/>
      <c r="CL24" s="19"/>
      <c r="CM24" s="105"/>
      <c r="CN24" s="105"/>
      <c r="CO24" s="105"/>
      <c r="CP24" s="105"/>
      <c r="CQ24" s="110"/>
      <c r="CS24" s="102"/>
      <c r="CT24" s="105"/>
      <c r="CU24" s="18" t="s">
        <v>40</v>
      </c>
      <c r="CV24" s="105"/>
      <c r="CW24" s="19"/>
      <c r="CX24" s="105"/>
      <c r="CY24" s="105"/>
      <c r="CZ24" s="105"/>
      <c r="DA24" s="105"/>
      <c r="DB24" s="110"/>
      <c r="DC24" s="18" t="s">
        <v>40</v>
      </c>
      <c r="DD24" s="105"/>
      <c r="DE24" s="19"/>
      <c r="DF24" s="105"/>
      <c r="DG24" s="105"/>
      <c r="DH24" s="105"/>
      <c r="DI24" s="105"/>
      <c r="DJ24" s="110"/>
    </row>
    <row r="25" spans="1:114" ht="14.25" customHeight="1" x14ac:dyDescent="0.3">
      <c r="A25" s="102"/>
      <c r="B25" s="105"/>
      <c r="C25" s="18" t="s">
        <v>41</v>
      </c>
      <c r="D25" s="105"/>
      <c r="E25" s="19"/>
      <c r="F25" s="105"/>
      <c r="G25" s="105"/>
      <c r="H25" s="105"/>
      <c r="I25" s="105"/>
      <c r="J25" s="110"/>
      <c r="K25" s="18" t="s">
        <v>41</v>
      </c>
      <c r="L25" s="105"/>
      <c r="M25" s="19"/>
      <c r="N25" s="105"/>
      <c r="O25" s="105"/>
      <c r="P25" s="105"/>
      <c r="Q25" s="105"/>
      <c r="R25" s="110"/>
      <c r="T25" s="117"/>
      <c r="U25" s="102"/>
      <c r="V25" s="105"/>
      <c r="W25" s="18" t="s">
        <v>41</v>
      </c>
      <c r="X25" s="105"/>
      <c r="Y25" s="19"/>
      <c r="Z25" s="105"/>
      <c r="AA25" s="105"/>
      <c r="AB25" s="105"/>
      <c r="AC25" s="105"/>
      <c r="AD25" s="110"/>
      <c r="AE25" s="18" t="s">
        <v>41</v>
      </c>
      <c r="AF25" s="105"/>
      <c r="AG25" s="19"/>
      <c r="AH25" s="105"/>
      <c r="AI25" s="105"/>
      <c r="AJ25" s="105"/>
      <c r="AK25" s="105"/>
      <c r="AL25" s="110"/>
      <c r="AN25" s="102"/>
      <c r="AO25" s="105"/>
      <c r="AP25" s="18" t="s">
        <v>41</v>
      </c>
      <c r="AQ25" s="105"/>
      <c r="AR25" s="19"/>
      <c r="AS25" s="105"/>
      <c r="AT25" s="105"/>
      <c r="AU25" s="105"/>
      <c r="AV25" s="105"/>
      <c r="AW25" s="110"/>
      <c r="AX25" s="18" t="s">
        <v>41</v>
      </c>
      <c r="AY25" s="105"/>
      <c r="AZ25" s="19"/>
      <c r="BA25" s="105"/>
      <c r="BB25" s="105"/>
      <c r="BC25" s="105"/>
      <c r="BD25" s="105"/>
      <c r="BE25" s="110"/>
      <c r="BG25" s="102"/>
      <c r="BH25" s="105"/>
      <c r="BI25" s="18" t="s">
        <v>41</v>
      </c>
      <c r="BJ25" s="105"/>
      <c r="BK25" s="19"/>
      <c r="BL25" s="105"/>
      <c r="BM25" s="105"/>
      <c r="BN25" s="105"/>
      <c r="BO25" s="105"/>
      <c r="BP25" s="110"/>
      <c r="BQ25" s="18" t="s">
        <v>41</v>
      </c>
      <c r="BR25" s="105"/>
      <c r="BS25" s="19"/>
      <c r="BT25" s="105"/>
      <c r="BU25" s="105"/>
      <c r="BV25" s="105"/>
      <c r="BW25" s="105"/>
      <c r="BX25" s="110"/>
      <c r="BZ25" s="102"/>
      <c r="CA25" s="105"/>
      <c r="CB25" s="18" t="s">
        <v>41</v>
      </c>
      <c r="CC25" s="105"/>
      <c r="CD25" s="19"/>
      <c r="CE25" s="105"/>
      <c r="CF25" s="105"/>
      <c r="CG25" s="105"/>
      <c r="CH25" s="105"/>
      <c r="CI25" s="110"/>
      <c r="CJ25" s="18" t="s">
        <v>41</v>
      </c>
      <c r="CK25" s="105"/>
      <c r="CL25" s="19"/>
      <c r="CM25" s="105"/>
      <c r="CN25" s="105"/>
      <c r="CO25" s="105"/>
      <c r="CP25" s="105"/>
      <c r="CQ25" s="110"/>
      <c r="CS25" s="102"/>
      <c r="CT25" s="105"/>
      <c r="CU25" s="18" t="s">
        <v>41</v>
      </c>
      <c r="CV25" s="105"/>
      <c r="CW25" s="19"/>
      <c r="CX25" s="105"/>
      <c r="CY25" s="105"/>
      <c r="CZ25" s="105"/>
      <c r="DA25" s="105"/>
      <c r="DB25" s="110"/>
      <c r="DC25" s="18" t="s">
        <v>41</v>
      </c>
      <c r="DD25" s="105"/>
      <c r="DE25" s="19"/>
      <c r="DF25" s="105"/>
      <c r="DG25" s="105"/>
      <c r="DH25" s="105"/>
      <c r="DI25" s="105"/>
      <c r="DJ25" s="110"/>
    </row>
    <row r="26" spans="1:114" ht="14.25" customHeight="1" x14ac:dyDescent="0.3">
      <c r="A26" s="102"/>
      <c r="B26" s="105"/>
      <c r="C26" s="18" t="s">
        <v>42</v>
      </c>
      <c r="D26" s="105"/>
      <c r="E26" s="19"/>
      <c r="F26" s="105"/>
      <c r="G26" s="105"/>
      <c r="H26" s="105"/>
      <c r="I26" s="105"/>
      <c r="J26" s="110"/>
      <c r="K26" s="18" t="s">
        <v>42</v>
      </c>
      <c r="L26" s="105"/>
      <c r="M26" s="19"/>
      <c r="N26" s="105"/>
      <c r="O26" s="105"/>
      <c r="P26" s="105"/>
      <c r="Q26" s="105"/>
      <c r="R26" s="110"/>
      <c r="T26" s="117"/>
      <c r="U26" s="102"/>
      <c r="V26" s="105"/>
      <c r="W26" s="18" t="s">
        <v>42</v>
      </c>
      <c r="X26" s="105"/>
      <c r="Y26" s="19"/>
      <c r="Z26" s="105"/>
      <c r="AA26" s="105"/>
      <c r="AB26" s="105"/>
      <c r="AC26" s="105"/>
      <c r="AD26" s="110"/>
      <c r="AE26" s="18" t="s">
        <v>42</v>
      </c>
      <c r="AF26" s="105"/>
      <c r="AG26" s="19"/>
      <c r="AH26" s="105"/>
      <c r="AI26" s="105"/>
      <c r="AJ26" s="105"/>
      <c r="AK26" s="105"/>
      <c r="AL26" s="110"/>
      <c r="AN26" s="102"/>
      <c r="AO26" s="105"/>
      <c r="AP26" s="18" t="s">
        <v>42</v>
      </c>
      <c r="AQ26" s="105"/>
      <c r="AR26" s="19"/>
      <c r="AS26" s="105"/>
      <c r="AT26" s="105"/>
      <c r="AU26" s="105"/>
      <c r="AV26" s="105"/>
      <c r="AW26" s="110"/>
      <c r="AX26" s="18" t="s">
        <v>42</v>
      </c>
      <c r="AY26" s="105"/>
      <c r="AZ26" s="19"/>
      <c r="BA26" s="105"/>
      <c r="BB26" s="105"/>
      <c r="BC26" s="105"/>
      <c r="BD26" s="105"/>
      <c r="BE26" s="110"/>
      <c r="BG26" s="102"/>
      <c r="BH26" s="105"/>
      <c r="BI26" s="18" t="s">
        <v>42</v>
      </c>
      <c r="BJ26" s="105"/>
      <c r="BK26" s="19"/>
      <c r="BL26" s="105"/>
      <c r="BM26" s="105"/>
      <c r="BN26" s="105"/>
      <c r="BO26" s="105"/>
      <c r="BP26" s="110"/>
      <c r="BQ26" s="18" t="s">
        <v>42</v>
      </c>
      <c r="BR26" s="105"/>
      <c r="BS26" s="19"/>
      <c r="BT26" s="105"/>
      <c r="BU26" s="105"/>
      <c r="BV26" s="105"/>
      <c r="BW26" s="105"/>
      <c r="BX26" s="110"/>
      <c r="BZ26" s="102"/>
      <c r="CA26" s="105"/>
      <c r="CB26" s="18" t="s">
        <v>42</v>
      </c>
      <c r="CC26" s="105"/>
      <c r="CD26" s="19"/>
      <c r="CE26" s="105"/>
      <c r="CF26" s="105"/>
      <c r="CG26" s="105"/>
      <c r="CH26" s="105"/>
      <c r="CI26" s="110"/>
      <c r="CJ26" s="18" t="s">
        <v>42</v>
      </c>
      <c r="CK26" s="105"/>
      <c r="CL26" s="19"/>
      <c r="CM26" s="105"/>
      <c r="CN26" s="105"/>
      <c r="CO26" s="105"/>
      <c r="CP26" s="105"/>
      <c r="CQ26" s="110"/>
      <c r="CS26" s="102"/>
      <c r="CT26" s="105"/>
      <c r="CU26" s="18" t="s">
        <v>42</v>
      </c>
      <c r="CV26" s="105"/>
      <c r="CW26" s="19"/>
      <c r="CX26" s="105"/>
      <c r="CY26" s="105"/>
      <c r="CZ26" s="105"/>
      <c r="DA26" s="105"/>
      <c r="DB26" s="110"/>
      <c r="DC26" s="18" t="s">
        <v>42</v>
      </c>
      <c r="DD26" s="105"/>
      <c r="DE26" s="19"/>
      <c r="DF26" s="105"/>
      <c r="DG26" s="105"/>
      <c r="DH26" s="105"/>
      <c r="DI26" s="105"/>
      <c r="DJ26" s="110"/>
    </row>
    <row r="27" spans="1:114" ht="14.25" customHeight="1" x14ac:dyDescent="0.3">
      <c r="A27" s="102"/>
      <c r="B27" s="105"/>
      <c r="C27" s="18" t="s">
        <v>43</v>
      </c>
      <c r="D27" s="105"/>
      <c r="E27" s="19"/>
      <c r="F27" s="105"/>
      <c r="G27" s="105"/>
      <c r="H27" s="105"/>
      <c r="I27" s="105"/>
      <c r="J27" s="110"/>
      <c r="K27" s="18" t="s">
        <v>43</v>
      </c>
      <c r="L27" s="105"/>
      <c r="M27" s="19"/>
      <c r="N27" s="105"/>
      <c r="O27" s="105"/>
      <c r="P27" s="105"/>
      <c r="Q27" s="105"/>
      <c r="R27" s="110"/>
      <c r="T27" s="117"/>
      <c r="U27" s="102"/>
      <c r="V27" s="105"/>
      <c r="W27" s="18" t="s">
        <v>43</v>
      </c>
      <c r="X27" s="105"/>
      <c r="Y27" s="19"/>
      <c r="Z27" s="105"/>
      <c r="AA27" s="105"/>
      <c r="AB27" s="105"/>
      <c r="AC27" s="105"/>
      <c r="AD27" s="110"/>
      <c r="AE27" s="18" t="s">
        <v>43</v>
      </c>
      <c r="AF27" s="105"/>
      <c r="AG27" s="19"/>
      <c r="AH27" s="105"/>
      <c r="AI27" s="105"/>
      <c r="AJ27" s="105"/>
      <c r="AK27" s="105"/>
      <c r="AL27" s="110"/>
      <c r="AN27" s="102"/>
      <c r="AO27" s="105"/>
      <c r="AP27" s="18" t="s">
        <v>43</v>
      </c>
      <c r="AQ27" s="105"/>
      <c r="AR27" s="19"/>
      <c r="AS27" s="105"/>
      <c r="AT27" s="105"/>
      <c r="AU27" s="105"/>
      <c r="AV27" s="105"/>
      <c r="AW27" s="110"/>
      <c r="AX27" s="18" t="s">
        <v>43</v>
      </c>
      <c r="AY27" s="105"/>
      <c r="AZ27" s="19"/>
      <c r="BA27" s="105"/>
      <c r="BB27" s="105"/>
      <c r="BC27" s="105"/>
      <c r="BD27" s="105"/>
      <c r="BE27" s="110"/>
      <c r="BG27" s="102"/>
      <c r="BH27" s="105"/>
      <c r="BI27" s="18" t="s">
        <v>43</v>
      </c>
      <c r="BJ27" s="105"/>
      <c r="BK27" s="19"/>
      <c r="BL27" s="105"/>
      <c r="BM27" s="105"/>
      <c r="BN27" s="105"/>
      <c r="BO27" s="105"/>
      <c r="BP27" s="110"/>
      <c r="BQ27" s="18" t="s">
        <v>43</v>
      </c>
      <c r="BR27" s="105"/>
      <c r="BS27" s="19"/>
      <c r="BT27" s="105"/>
      <c r="BU27" s="105"/>
      <c r="BV27" s="105"/>
      <c r="BW27" s="105"/>
      <c r="BX27" s="110"/>
      <c r="BZ27" s="102"/>
      <c r="CA27" s="105"/>
      <c r="CB27" s="18" t="s">
        <v>43</v>
      </c>
      <c r="CC27" s="105"/>
      <c r="CD27" s="19"/>
      <c r="CE27" s="105"/>
      <c r="CF27" s="105"/>
      <c r="CG27" s="105"/>
      <c r="CH27" s="105"/>
      <c r="CI27" s="110"/>
      <c r="CJ27" s="18" t="s">
        <v>43</v>
      </c>
      <c r="CK27" s="105"/>
      <c r="CL27" s="19"/>
      <c r="CM27" s="105"/>
      <c r="CN27" s="105"/>
      <c r="CO27" s="105"/>
      <c r="CP27" s="105"/>
      <c r="CQ27" s="110"/>
      <c r="CS27" s="102"/>
      <c r="CT27" s="105"/>
      <c r="CU27" s="18" t="s">
        <v>43</v>
      </c>
      <c r="CV27" s="105"/>
      <c r="CW27" s="19"/>
      <c r="CX27" s="105"/>
      <c r="CY27" s="105"/>
      <c r="CZ27" s="105"/>
      <c r="DA27" s="105"/>
      <c r="DB27" s="110"/>
      <c r="DC27" s="18" t="s">
        <v>43</v>
      </c>
      <c r="DD27" s="105"/>
      <c r="DE27" s="19"/>
      <c r="DF27" s="105"/>
      <c r="DG27" s="105"/>
      <c r="DH27" s="105"/>
      <c r="DI27" s="105"/>
      <c r="DJ27" s="110"/>
    </row>
    <row r="28" spans="1:114" ht="14.25" customHeight="1" x14ac:dyDescent="0.3">
      <c r="A28" s="102"/>
      <c r="B28" s="105"/>
      <c r="C28" s="18" t="s">
        <v>44</v>
      </c>
      <c r="D28" s="105"/>
      <c r="E28" s="19"/>
      <c r="F28" s="105"/>
      <c r="G28" s="105"/>
      <c r="H28" s="105"/>
      <c r="I28" s="105"/>
      <c r="J28" s="110"/>
      <c r="K28" s="18" t="s">
        <v>44</v>
      </c>
      <c r="L28" s="105"/>
      <c r="M28" s="19"/>
      <c r="N28" s="105"/>
      <c r="O28" s="105"/>
      <c r="P28" s="105"/>
      <c r="Q28" s="105"/>
      <c r="R28" s="110"/>
      <c r="T28" s="117"/>
      <c r="U28" s="102"/>
      <c r="V28" s="105"/>
      <c r="W28" s="18" t="s">
        <v>44</v>
      </c>
      <c r="X28" s="105"/>
      <c r="Y28" s="19"/>
      <c r="Z28" s="105"/>
      <c r="AA28" s="105"/>
      <c r="AB28" s="105"/>
      <c r="AC28" s="105"/>
      <c r="AD28" s="110"/>
      <c r="AE28" s="18" t="s">
        <v>44</v>
      </c>
      <c r="AF28" s="105"/>
      <c r="AG28" s="19"/>
      <c r="AH28" s="105"/>
      <c r="AI28" s="105"/>
      <c r="AJ28" s="105"/>
      <c r="AK28" s="105"/>
      <c r="AL28" s="110"/>
      <c r="AN28" s="102"/>
      <c r="AO28" s="105"/>
      <c r="AP28" s="18" t="s">
        <v>44</v>
      </c>
      <c r="AQ28" s="105"/>
      <c r="AR28" s="19"/>
      <c r="AS28" s="105"/>
      <c r="AT28" s="105"/>
      <c r="AU28" s="105"/>
      <c r="AV28" s="105"/>
      <c r="AW28" s="110"/>
      <c r="AX28" s="18" t="s">
        <v>44</v>
      </c>
      <c r="AY28" s="105"/>
      <c r="AZ28" s="19"/>
      <c r="BA28" s="105"/>
      <c r="BB28" s="105"/>
      <c r="BC28" s="105"/>
      <c r="BD28" s="105"/>
      <c r="BE28" s="110"/>
      <c r="BG28" s="102"/>
      <c r="BH28" s="105"/>
      <c r="BI28" s="18" t="s">
        <v>44</v>
      </c>
      <c r="BJ28" s="105"/>
      <c r="BK28" s="19"/>
      <c r="BL28" s="105"/>
      <c r="BM28" s="105"/>
      <c r="BN28" s="105"/>
      <c r="BO28" s="105"/>
      <c r="BP28" s="110"/>
      <c r="BQ28" s="18" t="s">
        <v>44</v>
      </c>
      <c r="BR28" s="105"/>
      <c r="BS28" s="19"/>
      <c r="BT28" s="105"/>
      <c r="BU28" s="105"/>
      <c r="BV28" s="105"/>
      <c r="BW28" s="105"/>
      <c r="BX28" s="110"/>
      <c r="BZ28" s="102"/>
      <c r="CA28" s="105"/>
      <c r="CB28" s="18" t="s">
        <v>44</v>
      </c>
      <c r="CC28" s="105"/>
      <c r="CD28" s="19"/>
      <c r="CE28" s="105"/>
      <c r="CF28" s="105"/>
      <c r="CG28" s="105"/>
      <c r="CH28" s="105"/>
      <c r="CI28" s="110"/>
      <c r="CJ28" s="18" t="s">
        <v>44</v>
      </c>
      <c r="CK28" s="105"/>
      <c r="CL28" s="19"/>
      <c r="CM28" s="105"/>
      <c r="CN28" s="105"/>
      <c r="CO28" s="105"/>
      <c r="CP28" s="105"/>
      <c r="CQ28" s="110"/>
      <c r="CS28" s="102"/>
      <c r="CT28" s="105"/>
      <c r="CU28" s="18" t="s">
        <v>44</v>
      </c>
      <c r="CV28" s="105"/>
      <c r="CW28" s="19"/>
      <c r="CX28" s="105"/>
      <c r="CY28" s="105"/>
      <c r="CZ28" s="105"/>
      <c r="DA28" s="105"/>
      <c r="DB28" s="110"/>
      <c r="DC28" s="18" t="s">
        <v>44</v>
      </c>
      <c r="DD28" s="105"/>
      <c r="DE28" s="19"/>
      <c r="DF28" s="105"/>
      <c r="DG28" s="105"/>
      <c r="DH28" s="105"/>
      <c r="DI28" s="105"/>
      <c r="DJ28" s="110"/>
    </row>
    <row r="29" spans="1:114" ht="14.25" customHeight="1" x14ac:dyDescent="0.3">
      <c r="A29" s="102"/>
      <c r="B29" s="105"/>
      <c r="C29" s="18" t="s">
        <v>45</v>
      </c>
      <c r="D29" s="105"/>
      <c r="E29" s="19"/>
      <c r="F29" s="105"/>
      <c r="G29" s="105"/>
      <c r="H29" s="105"/>
      <c r="I29" s="105"/>
      <c r="J29" s="110"/>
      <c r="K29" s="18" t="s">
        <v>45</v>
      </c>
      <c r="L29" s="105"/>
      <c r="M29" s="19"/>
      <c r="N29" s="105"/>
      <c r="O29" s="105"/>
      <c r="P29" s="105"/>
      <c r="Q29" s="105"/>
      <c r="R29" s="110"/>
      <c r="T29" s="117"/>
      <c r="U29" s="102"/>
      <c r="V29" s="105"/>
      <c r="W29" s="18" t="s">
        <v>45</v>
      </c>
      <c r="X29" s="105"/>
      <c r="Y29" s="19"/>
      <c r="Z29" s="105"/>
      <c r="AA29" s="105"/>
      <c r="AB29" s="105"/>
      <c r="AC29" s="105"/>
      <c r="AD29" s="110"/>
      <c r="AE29" s="18" t="s">
        <v>45</v>
      </c>
      <c r="AF29" s="105"/>
      <c r="AG29" s="19"/>
      <c r="AH29" s="105"/>
      <c r="AI29" s="105"/>
      <c r="AJ29" s="105"/>
      <c r="AK29" s="105"/>
      <c r="AL29" s="110"/>
      <c r="AN29" s="102"/>
      <c r="AO29" s="105"/>
      <c r="AP29" s="18" t="s">
        <v>45</v>
      </c>
      <c r="AQ29" s="105"/>
      <c r="AR29" s="19"/>
      <c r="AS29" s="105"/>
      <c r="AT29" s="105"/>
      <c r="AU29" s="105"/>
      <c r="AV29" s="105"/>
      <c r="AW29" s="110"/>
      <c r="AX29" s="18" t="s">
        <v>45</v>
      </c>
      <c r="AY29" s="105"/>
      <c r="AZ29" s="19"/>
      <c r="BA29" s="105"/>
      <c r="BB29" s="105"/>
      <c r="BC29" s="105"/>
      <c r="BD29" s="105"/>
      <c r="BE29" s="110"/>
      <c r="BG29" s="102"/>
      <c r="BH29" s="105"/>
      <c r="BI29" s="18" t="s">
        <v>45</v>
      </c>
      <c r="BJ29" s="105"/>
      <c r="BK29" s="19"/>
      <c r="BL29" s="105"/>
      <c r="BM29" s="105"/>
      <c r="BN29" s="105"/>
      <c r="BO29" s="105"/>
      <c r="BP29" s="110"/>
      <c r="BQ29" s="18" t="s">
        <v>45</v>
      </c>
      <c r="BR29" s="105"/>
      <c r="BS29" s="19"/>
      <c r="BT29" s="105"/>
      <c r="BU29" s="105"/>
      <c r="BV29" s="105"/>
      <c r="BW29" s="105"/>
      <c r="BX29" s="110"/>
      <c r="BZ29" s="102"/>
      <c r="CA29" s="105"/>
      <c r="CB29" s="18" t="s">
        <v>45</v>
      </c>
      <c r="CC29" s="105"/>
      <c r="CD29" s="19"/>
      <c r="CE29" s="105"/>
      <c r="CF29" s="105"/>
      <c r="CG29" s="105"/>
      <c r="CH29" s="105"/>
      <c r="CI29" s="110"/>
      <c r="CJ29" s="18" t="s">
        <v>45</v>
      </c>
      <c r="CK29" s="105"/>
      <c r="CL29" s="19"/>
      <c r="CM29" s="105"/>
      <c r="CN29" s="105"/>
      <c r="CO29" s="105"/>
      <c r="CP29" s="105"/>
      <c r="CQ29" s="110"/>
      <c r="CS29" s="102"/>
      <c r="CT29" s="105"/>
      <c r="CU29" s="18" t="s">
        <v>45</v>
      </c>
      <c r="CV29" s="105"/>
      <c r="CW29" s="19"/>
      <c r="CX29" s="105"/>
      <c r="CY29" s="105"/>
      <c r="CZ29" s="105"/>
      <c r="DA29" s="105"/>
      <c r="DB29" s="110"/>
      <c r="DC29" s="18" t="s">
        <v>45</v>
      </c>
      <c r="DD29" s="105"/>
      <c r="DE29" s="19"/>
      <c r="DF29" s="105"/>
      <c r="DG29" s="105"/>
      <c r="DH29" s="105"/>
      <c r="DI29" s="105"/>
      <c r="DJ29" s="110"/>
    </row>
    <row r="30" spans="1:114" ht="14.25" customHeight="1" x14ac:dyDescent="0.3">
      <c r="A30" s="102"/>
      <c r="B30" s="105"/>
      <c r="C30" s="18" t="s">
        <v>46</v>
      </c>
      <c r="D30" s="105"/>
      <c r="E30" s="19"/>
      <c r="F30" s="105"/>
      <c r="G30" s="105"/>
      <c r="H30" s="105"/>
      <c r="I30" s="105"/>
      <c r="J30" s="110"/>
      <c r="K30" s="18" t="s">
        <v>46</v>
      </c>
      <c r="L30" s="105"/>
      <c r="M30" s="19"/>
      <c r="N30" s="105"/>
      <c r="O30" s="105"/>
      <c r="P30" s="105"/>
      <c r="Q30" s="105"/>
      <c r="R30" s="110"/>
      <c r="T30" s="117"/>
      <c r="U30" s="102"/>
      <c r="V30" s="105"/>
      <c r="W30" s="18" t="s">
        <v>46</v>
      </c>
      <c r="X30" s="105"/>
      <c r="Y30" s="19"/>
      <c r="Z30" s="105"/>
      <c r="AA30" s="105"/>
      <c r="AB30" s="105"/>
      <c r="AC30" s="105"/>
      <c r="AD30" s="110"/>
      <c r="AE30" s="18" t="s">
        <v>46</v>
      </c>
      <c r="AF30" s="105"/>
      <c r="AG30" s="19"/>
      <c r="AH30" s="105"/>
      <c r="AI30" s="105"/>
      <c r="AJ30" s="105"/>
      <c r="AK30" s="105"/>
      <c r="AL30" s="110"/>
      <c r="AN30" s="102"/>
      <c r="AO30" s="105"/>
      <c r="AP30" s="18" t="s">
        <v>46</v>
      </c>
      <c r="AQ30" s="105"/>
      <c r="AR30" s="19"/>
      <c r="AS30" s="105"/>
      <c r="AT30" s="105"/>
      <c r="AU30" s="105"/>
      <c r="AV30" s="105"/>
      <c r="AW30" s="110"/>
      <c r="AX30" s="18" t="s">
        <v>46</v>
      </c>
      <c r="AY30" s="105"/>
      <c r="AZ30" s="19"/>
      <c r="BA30" s="105"/>
      <c r="BB30" s="105"/>
      <c r="BC30" s="105"/>
      <c r="BD30" s="105"/>
      <c r="BE30" s="110"/>
      <c r="BG30" s="102"/>
      <c r="BH30" s="105"/>
      <c r="BI30" s="18" t="s">
        <v>46</v>
      </c>
      <c r="BJ30" s="105"/>
      <c r="BK30" s="19"/>
      <c r="BL30" s="105"/>
      <c r="BM30" s="105"/>
      <c r="BN30" s="105"/>
      <c r="BO30" s="105"/>
      <c r="BP30" s="110"/>
      <c r="BQ30" s="18" t="s">
        <v>46</v>
      </c>
      <c r="BR30" s="105"/>
      <c r="BS30" s="19"/>
      <c r="BT30" s="105"/>
      <c r="BU30" s="105"/>
      <c r="BV30" s="105"/>
      <c r="BW30" s="105"/>
      <c r="BX30" s="110"/>
      <c r="BZ30" s="102"/>
      <c r="CA30" s="105"/>
      <c r="CB30" s="18" t="s">
        <v>46</v>
      </c>
      <c r="CC30" s="105"/>
      <c r="CD30" s="19"/>
      <c r="CE30" s="105"/>
      <c r="CF30" s="105"/>
      <c r="CG30" s="105"/>
      <c r="CH30" s="105"/>
      <c r="CI30" s="110"/>
      <c r="CJ30" s="18" t="s">
        <v>46</v>
      </c>
      <c r="CK30" s="105"/>
      <c r="CL30" s="19"/>
      <c r="CM30" s="105"/>
      <c r="CN30" s="105"/>
      <c r="CO30" s="105"/>
      <c r="CP30" s="105"/>
      <c r="CQ30" s="110"/>
      <c r="CS30" s="102"/>
      <c r="CT30" s="105"/>
      <c r="CU30" s="18" t="s">
        <v>46</v>
      </c>
      <c r="CV30" s="105"/>
      <c r="CW30" s="19"/>
      <c r="CX30" s="105"/>
      <c r="CY30" s="105"/>
      <c r="CZ30" s="105"/>
      <c r="DA30" s="105"/>
      <c r="DB30" s="110"/>
      <c r="DC30" s="18" t="s">
        <v>46</v>
      </c>
      <c r="DD30" s="105"/>
      <c r="DE30" s="19"/>
      <c r="DF30" s="105"/>
      <c r="DG30" s="105"/>
      <c r="DH30" s="105"/>
      <c r="DI30" s="105"/>
      <c r="DJ30" s="110"/>
    </row>
    <row r="31" spans="1:114" ht="14.25" customHeight="1" x14ac:dyDescent="0.3">
      <c r="A31" s="102"/>
      <c r="B31" s="105"/>
      <c r="C31" s="18" t="s">
        <v>47</v>
      </c>
      <c r="D31" s="105"/>
      <c r="E31" s="19"/>
      <c r="F31" s="105"/>
      <c r="G31" s="105"/>
      <c r="H31" s="105"/>
      <c r="I31" s="105"/>
      <c r="J31" s="110"/>
      <c r="K31" s="18" t="s">
        <v>47</v>
      </c>
      <c r="L31" s="105"/>
      <c r="M31" s="19"/>
      <c r="N31" s="105"/>
      <c r="O31" s="105"/>
      <c r="P31" s="105"/>
      <c r="Q31" s="105"/>
      <c r="R31" s="110"/>
      <c r="T31" s="117"/>
      <c r="U31" s="102"/>
      <c r="V31" s="105"/>
      <c r="W31" s="18" t="s">
        <v>47</v>
      </c>
      <c r="X31" s="105"/>
      <c r="Y31" s="19"/>
      <c r="Z31" s="105"/>
      <c r="AA31" s="105"/>
      <c r="AB31" s="105"/>
      <c r="AC31" s="105"/>
      <c r="AD31" s="110"/>
      <c r="AE31" s="18" t="s">
        <v>47</v>
      </c>
      <c r="AF31" s="105"/>
      <c r="AG31" s="19"/>
      <c r="AH31" s="105"/>
      <c r="AI31" s="105"/>
      <c r="AJ31" s="105"/>
      <c r="AK31" s="105"/>
      <c r="AL31" s="110"/>
      <c r="AN31" s="102"/>
      <c r="AO31" s="105"/>
      <c r="AP31" s="18" t="s">
        <v>47</v>
      </c>
      <c r="AQ31" s="105"/>
      <c r="AR31" s="19"/>
      <c r="AS31" s="105"/>
      <c r="AT31" s="105"/>
      <c r="AU31" s="105"/>
      <c r="AV31" s="105"/>
      <c r="AW31" s="110"/>
      <c r="AX31" s="18" t="s">
        <v>47</v>
      </c>
      <c r="AY31" s="105"/>
      <c r="AZ31" s="19"/>
      <c r="BA31" s="105"/>
      <c r="BB31" s="105"/>
      <c r="BC31" s="105"/>
      <c r="BD31" s="105"/>
      <c r="BE31" s="110"/>
      <c r="BG31" s="102"/>
      <c r="BH31" s="105"/>
      <c r="BI31" s="18" t="s">
        <v>47</v>
      </c>
      <c r="BJ31" s="105"/>
      <c r="BK31" s="19"/>
      <c r="BL31" s="105"/>
      <c r="BM31" s="105"/>
      <c r="BN31" s="105"/>
      <c r="BO31" s="105"/>
      <c r="BP31" s="110"/>
      <c r="BQ31" s="18" t="s">
        <v>47</v>
      </c>
      <c r="BR31" s="105"/>
      <c r="BS31" s="19"/>
      <c r="BT31" s="105"/>
      <c r="BU31" s="105"/>
      <c r="BV31" s="105"/>
      <c r="BW31" s="105"/>
      <c r="BX31" s="110"/>
      <c r="BZ31" s="102"/>
      <c r="CA31" s="105"/>
      <c r="CB31" s="18" t="s">
        <v>47</v>
      </c>
      <c r="CC31" s="105"/>
      <c r="CD31" s="19"/>
      <c r="CE31" s="105"/>
      <c r="CF31" s="105"/>
      <c r="CG31" s="105"/>
      <c r="CH31" s="105"/>
      <c r="CI31" s="110"/>
      <c r="CJ31" s="18" t="s">
        <v>47</v>
      </c>
      <c r="CK31" s="105"/>
      <c r="CL31" s="19"/>
      <c r="CM31" s="105"/>
      <c r="CN31" s="105"/>
      <c r="CO31" s="105"/>
      <c r="CP31" s="105"/>
      <c r="CQ31" s="110"/>
      <c r="CS31" s="102"/>
      <c r="CT31" s="105"/>
      <c r="CU31" s="18" t="s">
        <v>47</v>
      </c>
      <c r="CV31" s="105"/>
      <c r="CW31" s="19"/>
      <c r="CX31" s="105"/>
      <c r="CY31" s="105"/>
      <c r="CZ31" s="105"/>
      <c r="DA31" s="105"/>
      <c r="DB31" s="110"/>
      <c r="DC31" s="18" t="s">
        <v>47</v>
      </c>
      <c r="DD31" s="105"/>
      <c r="DE31" s="19"/>
      <c r="DF31" s="105"/>
      <c r="DG31" s="105"/>
      <c r="DH31" s="105"/>
      <c r="DI31" s="105"/>
      <c r="DJ31" s="110"/>
    </row>
    <row r="32" spans="1:114" ht="14.25" customHeight="1" x14ac:dyDescent="0.3">
      <c r="A32" s="103"/>
      <c r="B32" s="106"/>
      <c r="C32" s="21" t="s">
        <v>48</v>
      </c>
      <c r="D32" s="106"/>
      <c r="E32" s="22"/>
      <c r="F32" s="106"/>
      <c r="G32" s="106"/>
      <c r="H32" s="106"/>
      <c r="I32" s="106"/>
      <c r="J32" s="111"/>
      <c r="K32" s="21" t="s">
        <v>48</v>
      </c>
      <c r="L32" s="106"/>
      <c r="M32" s="22"/>
      <c r="N32" s="106"/>
      <c r="O32" s="106"/>
      <c r="P32" s="106"/>
      <c r="Q32" s="106"/>
      <c r="R32" s="111"/>
      <c r="T32" s="117"/>
      <c r="U32" s="103"/>
      <c r="V32" s="106"/>
      <c r="W32" s="21" t="s">
        <v>48</v>
      </c>
      <c r="X32" s="106"/>
      <c r="Y32" s="22"/>
      <c r="Z32" s="106"/>
      <c r="AA32" s="106"/>
      <c r="AB32" s="106"/>
      <c r="AC32" s="106"/>
      <c r="AD32" s="111"/>
      <c r="AE32" s="21" t="s">
        <v>48</v>
      </c>
      <c r="AF32" s="106"/>
      <c r="AG32" s="22"/>
      <c r="AH32" s="106"/>
      <c r="AI32" s="106"/>
      <c r="AJ32" s="106"/>
      <c r="AK32" s="106"/>
      <c r="AL32" s="111"/>
      <c r="AN32" s="103"/>
      <c r="AO32" s="106"/>
      <c r="AP32" s="21" t="s">
        <v>48</v>
      </c>
      <c r="AQ32" s="106"/>
      <c r="AR32" s="22"/>
      <c r="AS32" s="106"/>
      <c r="AT32" s="106"/>
      <c r="AU32" s="106"/>
      <c r="AV32" s="106"/>
      <c r="AW32" s="111"/>
      <c r="AX32" s="21" t="s">
        <v>48</v>
      </c>
      <c r="AY32" s="106"/>
      <c r="AZ32" s="22"/>
      <c r="BA32" s="106"/>
      <c r="BB32" s="106"/>
      <c r="BC32" s="106"/>
      <c r="BD32" s="106"/>
      <c r="BE32" s="111"/>
      <c r="BG32" s="103"/>
      <c r="BH32" s="106"/>
      <c r="BI32" s="21" t="s">
        <v>48</v>
      </c>
      <c r="BJ32" s="106"/>
      <c r="BK32" s="22"/>
      <c r="BL32" s="106"/>
      <c r="BM32" s="106"/>
      <c r="BN32" s="106"/>
      <c r="BO32" s="106"/>
      <c r="BP32" s="111"/>
      <c r="BQ32" s="21" t="s">
        <v>48</v>
      </c>
      <c r="BR32" s="106"/>
      <c r="BS32" s="22"/>
      <c r="BT32" s="106"/>
      <c r="BU32" s="106"/>
      <c r="BV32" s="106"/>
      <c r="BW32" s="106"/>
      <c r="BX32" s="111"/>
      <c r="BZ32" s="103"/>
      <c r="CA32" s="106"/>
      <c r="CB32" s="21" t="s">
        <v>48</v>
      </c>
      <c r="CC32" s="106"/>
      <c r="CD32" s="22"/>
      <c r="CE32" s="106"/>
      <c r="CF32" s="106"/>
      <c r="CG32" s="106"/>
      <c r="CH32" s="106"/>
      <c r="CI32" s="111"/>
      <c r="CJ32" s="21" t="s">
        <v>48</v>
      </c>
      <c r="CK32" s="106"/>
      <c r="CL32" s="22"/>
      <c r="CM32" s="106"/>
      <c r="CN32" s="106"/>
      <c r="CO32" s="106"/>
      <c r="CP32" s="106"/>
      <c r="CQ32" s="111"/>
      <c r="CS32" s="103"/>
      <c r="CT32" s="106"/>
      <c r="CU32" s="21" t="s">
        <v>48</v>
      </c>
      <c r="CV32" s="106"/>
      <c r="CW32" s="22"/>
      <c r="CX32" s="106"/>
      <c r="CY32" s="106"/>
      <c r="CZ32" s="106"/>
      <c r="DA32" s="106"/>
      <c r="DB32" s="111"/>
      <c r="DC32" s="21" t="s">
        <v>48</v>
      </c>
      <c r="DD32" s="106"/>
      <c r="DE32" s="22"/>
      <c r="DF32" s="106"/>
      <c r="DG32" s="106"/>
      <c r="DH32" s="106"/>
      <c r="DI32" s="106"/>
      <c r="DJ32" s="111"/>
    </row>
    <row r="33" spans="1:114" ht="14.25" customHeight="1" x14ac:dyDescent="0.3">
      <c r="A33" s="101">
        <v>3</v>
      </c>
      <c r="B33" s="104" t="s">
        <v>28</v>
      </c>
      <c r="C33" s="12" t="s">
        <v>29</v>
      </c>
      <c r="D33" s="104"/>
      <c r="E33" s="13"/>
      <c r="F33" s="108"/>
      <c r="G33" s="104"/>
      <c r="H33" s="104"/>
      <c r="I33" s="108">
        <v>0.75</v>
      </c>
      <c r="J33" s="135"/>
      <c r="K33" s="12" t="s">
        <v>29</v>
      </c>
      <c r="L33" s="104"/>
      <c r="M33" s="13"/>
      <c r="N33" s="112"/>
      <c r="O33" s="104"/>
      <c r="P33" s="104"/>
      <c r="Q33" s="108">
        <v>0.75</v>
      </c>
      <c r="R33" s="135"/>
      <c r="T33" s="116"/>
      <c r="U33" s="101">
        <v>3</v>
      </c>
      <c r="V33" s="104" t="s">
        <v>28</v>
      </c>
      <c r="W33" s="12" t="s">
        <v>29</v>
      </c>
      <c r="X33" s="104"/>
      <c r="Y33" s="13"/>
      <c r="Z33" s="108"/>
      <c r="AA33" s="104"/>
      <c r="AB33" s="104"/>
      <c r="AC33" s="108">
        <v>0.75</v>
      </c>
      <c r="AD33" s="135"/>
      <c r="AE33" s="12" t="s">
        <v>29</v>
      </c>
      <c r="AF33" s="104"/>
      <c r="AG33" s="13"/>
      <c r="AH33" s="112"/>
      <c r="AI33" s="104"/>
      <c r="AJ33" s="104"/>
      <c r="AK33" s="108">
        <v>0.75</v>
      </c>
      <c r="AL33" s="135"/>
      <c r="AN33" s="101">
        <v>3</v>
      </c>
      <c r="AO33" s="104" t="s">
        <v>28</v>
      </c>
      <c r="AP33" s="12" t="s">
        <v>29</v>
      </c>
      <c r="AQ33" s="104"/>
      <c r="AR33" s="13"/>
      <c r="AS33" s="108"/>
      <c r="AT33" s="104"/>
      <c r="AU33" s="104"/>
      <c r="AV33" s="108">
        <v>0.75</v>
      </c>
      <c r="AW33" s="135"/>
      <c r="AX33" s="12" t="s">
        <v>29</v>
      </c>
      <c r="AY33" s="104"/>
      <c r="AZ33" s="13"/>
      <c r="BA33" s="112"/>
      <c r="BB33" s="104"/>
      <c r="BC33" s="104"/>
      <c r="BD33" s="108">
        <v>0.75</v>
      </c>
      <c r="BE33" s="135"/>
      <c r="BG33" s="101">
        <v>3</v>
      </c>
      <c r="BH33" s="104" t="s">
        <v>28</v>
      </c>
      <c r="BI33" s="12" t="s">
        <v>29</v>
      </c>
      <c r="BJ33" s="104"/>
      <c r="BK33" s="13"/>
      <c r="BL33" s="108"/>
      <c r="BM33" s="104"/>
      <c r="BN33" s="104"/>
      <c r="BO33" s="108">
        <v>0.75</v>
      </c>
      <c r="BP33" s="135"/>
      <c r="BQ33" s="12" t="s">
        <v>29</v>
      </c>
      <c r="BR33" s="104"/>
      <c r="BS33" s="13"/>
      <c r="BT33" s="112"/>
      <c r="BU33" s="104"/>
      <c r="BV33" s="104"/>
      <c r="BW33" s="108">
        <v>0.75</v>
      </c>
      <c r="BX33" s="135"/>
      <c r="BZ33" s="101">
        <v>3</v>
      </c>
      <c r="CA33" s="104" t="s">
        <v>28</v>
      </c>
      <c r="CB33" s="12" t="s">
        <v>29</v>
      </c>
      <c r="CC33" s="104"/>
      <c r="CD33" s="13"/>
      <c r="CE33" s="108"/>
      <c r="CF33" s="104"/>
      <c r="CG33" s="104"/>
      <c r="CH33" s="108">
        <v>0.75</v>
      </c>
      <c r="CI33" s="135"/>
      <c r="CJ33" s="12" t="s">
        <v>29</v>
      </c>
      <c r="CK33" s="104"/>
      <c r="CL33" s="13"/>
      <c r="CM33" s="112"/>
      <c r="CN33" s="104"/>
      <c r="CO33" s="104"/>
      <c r="CP33" s="108">
        <v>0.75</v>
      </c>
      <c r="CQ33" s="135"/>
      <c r="CS33" s="101">
        <v>3</v>
      </c>
      <c r="CT33" s="104" t="s">
        <v>28</v>
      </c>
      <c r="CU33" s="12" t="s">
        <v>29</v>
      </c>
      <c r="CV33" s="104"/>
      <c r="CW33" s="13"/>
      <c r="CX33" s="108"/>
      <c r="CY33" s="104"/>
      <c r="CZ33" s="104"/>
      <c r="DA33" s="108">
        <v>0.75</v>
      </c>
      <c r="DB33" s="135"/>
      <c r="DC33" s="12" t="s">
        <v>29</v>
      </c>
      <c r="DD33" s="104"/>
      <c r="DE33" s="13"/>
      <c r="DF33" s="112"/>
      <c r="DG33" s="104"/>
      <c r="DH33" s="104"/>
      <c r="DI33" s="108">
        <v>0.75</v>
      </c>
      <c r="DJ33" s="135"/>
    </row>
    <row r="34" spans="1:114" ht="14.25" customHeight="1" x14ac:dyDescent="0.3">
      <c r="A34" s="102"/>
      <c r="B34" s="105"/>
      <c r="C34" s="18" t="s">
        <v>37</v>
      </c>
      <c r="D34" s="105"/>
      <c r="E34" s="19"/>
      <c r="F34" s="105"/>
      <c r="G34" s="105"/>
      <c r="H34" s="105"/>
      <c r="I34" s="105"/>
      <c r="J34" s="110"/>
      <c r="K34" s="18" t="s">
        <v>37</v>
      </c>
      <c r="L34" s="105"/>
      <c r="M34" s="19"/>
      <c r="N34" s="105"/>
      <c r="O34" s="105"/>
      <c r="P34" s="105"/>
      <c r="Q34" s="105"/>
      <c r="R34" s="110"/>
      <c r="T34" s="117"/>
      <c r="U34" s="102"/>
      <c r="V34" s="105"/>
      <c r="W34" s="18" t="s">
        <v>37</v>
      </c>
      <c r="X34" s="105"/>
      <c r="Y34" s="19"/>
      <c r="Z34" s="105"/>
      <c r="AA34" s="105"/>
      <c r="AB34" s="105"/>
      <c r="AC34" s="105"/>
      <c r="AD34" s="110"/>
      <c r="AE34" s="18" t="s">
        <v>37</v>
      </c>
      <c r="AF34" s="105"/>
      <c r="AG34" s="19"/>
      <c r="AH34" s="105"/>
      <c r="AI34" s="105"/>
      <c r="AJ34" s="105"/>
      <c r="AK34" s="105"/>
      <c r="AL34" s="110"/>
      <c r="AN34" s="102"/>
      <c r="AO34" s="105"/>
      <c r="AP34" s="18" t="s">
        <v>37</v>
      </c>
      <c r="AQ34" s="105"/>
      <c r="AR34" s="19"/>
      <c r="AS34" s="105"/>
      <c r="AT34" s="105"/>
      <c r="AU34" s="105"/>
      <c r="AV34" s="105"/>
      <c r="AW34" s="110"/>
      <c r="AX34" s="18" t="s">
        <v>37</v>
      </c>
      <c r="AY34" s="105"/>
      <c r="AZ34" s="19"/>
      <c r="BA34" s="105"/>
      <c r="BB34" s="105"/>
      <c r="BC34" s="105"/>
      <c r="BD34" s="105"/>
      <c r="BE34" s="110"/>
      <c r="BG34" s="102"/>
      <c r="BH34" s="105"/>
      <c r="BI34" s="18" t="s">
        <v>37</v>
      </c>
      <c r="BJ34" s="105"/>
      <c r="BK34" s="19"/>
      <c r="BL34" s="105"/>
      <c r="BM34" s="105"/>
      <c r="BN34" s="105"/>
      <c r="BO34" s="105"/>
      <c r="BP34" s="110"/>
      <c r="BQ34" s="18" t="s">
        <v>37</v>
      </c>
      <c r="BR34" s="105"/>
      <c r="BS34" s="19"/>
      <c r="BT34" s="105"/>
      <c r="BU34" s="105"/>
      <c r="BV34" s="105"/>
      <c r="BW34" s="105"/>
      <c r="BX34" s="110"/>
      <c r="BZ34" s="102"/>
      <c r="CA34" s="105"/>
      <c r="CB34" s="18" t="s">
        <v>37</v>
      </c>
      <c r="CC34" s="105"/>
      <c r="CD34" s="19"/>
      <c r="CE34" s="105"/>
      <c r="CF34" s="105"/>
      <c r="CG34" s="105"/>
      <c r="CH34" s="105"/>
      <c r="CI34" s="110"/>
      <c r="CJ34" s="18" t="s">
        <v>37</v>
      </c>
      <c r="CK34" s="105"/>
      <c r="CL34" s="19"/>
      <c r="CM34" s="105"/>
      <c r="CN34" s="105"/>
      <c r="CO34" s="105"/>
      <c r="CP34" s="105"/>
      <c r="CQ34" s="110"/>
      <c r="CS34" s="102"/>
      <c r="CT34" s="105"/>
      <c r="CU34" s="18" t="s">
        <v>37</v>
      </c>
      <c r="CV34" s="105"/>
      <c r="CW34" s="19"/>
      <c r="CX34" s="105"/>
      <c r="CY34" s="105"/>
      <c r="CZ34" s="105"/>
      <c r="DA34" s="105"/>
      <c r="DB34" s="110"/>
      <c r="DC34" s="18" t="s">
        <v>37</v>
      </c>
      <c r="DD34" s="105"/>
      <c r="DE34" s="19"/>
      <c r="DF34" s="105"/>
      <c r="DG34" s="105"/>
      <c r="DH34" s="105"/>
      <c r="DI34" s="105"/>
      <c r="DJ34" s="110"/>
    </row>
    <row r="35" spans="1:114" ht="14.25" customHeight="1" x14ac:dyDescent="0.3">
      <c r="A35" s="102"/>
      <c r="B35" s="105"/>
      <c r="C35" s="18" t="s">
        <v>38</v>
      </c>
      <c r="D35" s="105"/>
      <c r="E35" s="19"/>
      <c r="F35" s="105"/>
      <c r="G35" s="105"/>
      <c r="H35" s="105"/>
      <c r="I35" s="105"/>
      <c r="J35" s="110"/>
      <c r="K35" s="18" t="s">
        <v>38</v>
      </c>
      <c r="L35" s="105"/>
      <c r="M35" s="19"/>
      <c r="N35" s="105"/>
      <c r="O35" s="105"/>
      <c r="P35" s="105"/>
      <c r="Q35" s="105"/>
      <c r="R35" s="110"/>
      <c r="T35" s="117"/>
      <c r="U35" s="102"/>
      <c r="V35" s="105"/>
      <c r="W35" s="18" t="s">
        <v>38</v>
      </c>
      <c r="X35" s="105"/>
      <c r="Y35" s="19"/>
      <c r="Z35" s="105"/>
      <c r="AA35" s="105"/>
      <c r="AB35" s="105"/>
      <c r="AC35" s="105"/>
      <c r="AD35" s="110"/>
      <c r="AE35" s="18" t="s">
        <v>38</v>
      </c>
      <c r="AF35" s="105"/>
      <c r="AG35" s="19"/>
      <c r="AH35" s="105"/>
      <c r="AI35" s="105"/>
      <c r="AJ35" s="105"/>
      <c r="AK35" s="105"/>
      <c r="AL35" s="110"/>
      <c r="AN35" s="102"/>
      <c r="AO35" s="105"/>
      <c r="AP35" s="18" t="s">
        <v>38</v>
      </c>
      <c r="AQ35" s="105"/>
      <c r="AR35" s="19"/>
      <c r="AS35" s="105"/>
      <c r="AT35" s="105"/>
      <c r="AU35" s="105"/>
      <c r="AV35" s="105"/>
      <c r="AW35" s="110"/>
      <c r="AX35" s="18" t="s">
        <v>38</v>
      </c>
      <c r="AY35" s="105"/>
      <c r="AZ35" s="19"/>
      <c r="BA35" s="105"/>
      <c r="BB35" s="105"/>
      <c r="BC35" s="105"/>
      <c r="BD35" s="105"/>
      <c r="BE35" s="110"/>
      <c r="BG35" s="102"/>
      <c r="BH35" s="105"/>
      <c r="BI35" s="18" t="s">
        <v>38</v>
      </c>
      <c r="BJ35" s="105"/>
      <c r="BK35" s="19"/>
      <c r="BL35" s="105"/>
      <c r="BM35" s="105"/>
      <c r="BN35" s="105"/>
      <c r="BO35" s="105"/>
      <c r="BP35" s="110"/>
      <c r="BQ35" s="18" t="s">
        <v>38</v>
      </c>
      <c r="BR35" s="105"/>
      <c r="BS35" s="19"/>
      <c r="BT35" s="105"/>
      <c r="BU35" s="105"/>
      <c r="BV35" s="105"/>
      <c r="BW35" s="105"/>
      <c r="BX35" s="110"/>
      <c r="BZ35" s="102"/>
      <c r="CA35" s="105"/>
      <c r="CB35" s="18" t="s">
        <v>38</v>
      </c>
      <c r="CC35" s="105"/>
      <c r="CD35" s="19"/>
      <c r="CE35" s="105"/>
      <c r="CF35" s="105"/>
      <c r="CG35" s="105"/>
      <c r="CH35" s="105"/>
      <c r="CI35" s="110"/>
      <c r="CJ35" s="18" t="s">
        <v>38</v>
      </c>
      <c r="CK35" s="105"/>
      <c r="CL35" s="19"/>
      <c r="CM35" s="105"/>
      <c r="CN35" s="105"/>
      <c r="CO35" s="105"/>
      <c r="CP35" s="105"/>
      <c r="CQ35" s="110"/>
      <c r="CS35" s="102"/>
      <c r="CT35" s="105"/>
      <c r="CU35" s="18" t="s">
        <v>38</v>
      </c>
      <c r="CV35" s="105"/>
      <c r="CW35" s="19"/>
      <c r="CX35" s="105"/>
      <c r="CY35" s="105"/>
      <c r="CZ35" s="105"/>
      <c r="DA35" s="105"/>
      <c r="DB35" s="110"/>
      <c r="DC35" s="18" t="s">
        <v>38</v>
      </c>
      <c r="DD35" s="105"/>
      <c r="DE35" s="19"/>
      <c r="DF35" s="105"/>
      <c r="DG35" s="105"/>
      <c r="DH35" s="105"/>
      <c r="DI35" s="105"/>
      <c r="DJ35" s="110"/>
    </row>
    <row r="36" spans="1:114" ht="14.25" customHeight="1" x14ac:dyDescent="0.3">
      <c r="A36" s="102"/>
      <c r="B36" s="105"/>
      <c r="C36" s="18" t="s">
        <v>39</v>
      </c>
      <c r="D36" s="105"/>
      <c r="E36" s="19"/>
      <c r="F36" s="105"/>
      <c r="G36" s="105"/>
      <c r="H36" s="105"/>
      <c r="I36" s="105"/>
      <c r="J36" s="110"/>
      <c r="K36" s="18" t="s">
        <v>39</v>
      </c>
      <c r="L36" s="105"/>
      <c r="M36" s="19"/>
      <c r="N36" s="105"/>
      <c r="O36" s="105"/>
      <c r="P36" s="105"/>
      <c r="Q36" s="105"/>
      <c r="R36" s="110"/>
      <c r="T36" s="117"/>
      <c r="U36" s="102"/>
      <c r="V36" s="105"/>
      <c r="W36" s="18" t="s">
        <v>39</v>
      </c>
      <c r="X36" s="105"/>
      <c r="Y36" s="19"/>
      <c r="Z36" s="105"/>
      <c r="AA36" s="105"/>
      <c r="AB36" s="105"/>
      <c r="AC36" s="105"/>
      <c r="AD36" s="110"/>
      <c r="AE36" s="18" t="s">
        <v>39</v>
      </c>
      <c r="AF36" s="105"/>
      <c r="AG36" s="19"/>
      <c r="AH36" s="105"/>
      <c r="AI36" s="105"/>
      <c r="AJ36" s="105"/>
      <c r="AK36" s="105"/>
      <c r="AL36" s="110"/>
      <c r="AN36" s="102"/>
      <c r="AO36" s="105"/>
      <c r="AP36" s="18" t="s">
        <v>39</v>
      </c>
      <c r="AQ36" s="105"/>
      <c r="AR36" s="19"/>
      <c r="AS36" s="105"/>
      <c r="AT36" s="105"/>
      <c r="AU36" s="105"/>
      <c r="AV36" s="105"/>
      <c r="AW36" s="110"/>
      <c r="AX36" s="18" t="s">
        <v>39</v>
      </c>
      <c r="AY36" s="105"/>
      <c r="AZ36" s="19"/>
      <c r="BA36" s="105"/>
      <c r="BB36" s="105"/>
      <c r="BC36" s="105"/>
      <c r="BD36" s="105"/>
      <c r="BE36" s="110"/>
      <c r="BG36" s="102"/>
      <c r="BH36" s="105"/>
      <c r="BI36" s="18" t="s">
        <v>39</v>
      </c>
      <c r="BJ36" s="105"/>
      <c r="BK36" s="19"/>
      <c r="BL36" s="105"/>
      <c r="BM36" s="105"/>
      <c r="BN36" s="105"/>
      <c r="BO36" s="105"/>
      <c r="BP36" s="110"/>
      <c r="BQ36" s="18" t="s">
        <v>39</v>
      </c>
      <c r="BR36" s="105"/>
      <c r="BS36" s="19"/>
      <c r="BT36" s="105"/>
      <c r="BU36" s="105"/>
      <c r="BV36" s="105"/>
      <c r="BW36" s="105"/>
      <c r="BX36" s="110"/>
      <c r="BZ36" s="102"/>
      <c r="CA36" s="105"/>
      <c r="CB36" s="18" t="s">
        <v>39</v>
      </c>
      <c r="CC36" s="105"/>
      <c r="CD36" s="19"/>
      <c r="CE36" s="105"/>
      <c r="CF36" s="105"/>
      <c r="CG36" s="105"/>
      <c r="CH36" s="105"/>
      <c r="CI36" s="110"/>
      <c r="CJ36" s="18" t="s">
        <v>39</v>
      </c>
      <c r="CK36" s="105"/>
      <c r="CL36" s="19"/>
      <c r="CM36" s="105"/>
      <c r="CN36" s="105"/>
      <c r="CO36" s="105"/>
      <c r="CP36" s="105"/>
      <c r="CQ36" s="110"/>
      <c r="CS36" s="102"/>
      <c r="CT36" s="105"/>
      <c r="CU36" s="18" t="s">
        <v>39</v>
      </c>
      <c r="CV36" s="105"/>
      <c r="CW36" s="19"/>
      <c r="CX36" s="105"/>
      <c r="CY36" s="105"/>
      <c r="CZ36" s="105"/>
      <c r="DA36" s="105"/>
      <c r="DB36" s="110"/>
      <c r="DC36" s="18" t="s">
        <v>39</v>
      </c>
      <c r="DD36" s="105"/>
      <c r="DE36" s="19"/>
      <c r="DF36" s="105"/>
      <c r="DG36" s="105"/>
      <c r="DH36" s="105"/>
      <c r="DI36" s="105"/>
      <c r="DJ36" s="110"/>
    </row>
    <row r="37" spans="1:114" ht="14.25" customHeight="1" x14ac:dyDescent="0.3">
      <c r="A37" s="102"/>
      <c r="B37" s="105"/>
      <c r="C37" s="18" t="s">
        <v>40</v>
      </c>
      <c r="D37" s="105"/>
      <c r="E37" s="19"/>
      <c r="F37" s="105"/>
      <c r="G37" s="105"/>
      <c r="H37" s="105"/>
      <c r="I37" s="105"/>
      <c r="J37" s="110"/>
      <c r="K37" s="18" t="s">
        <v>40</v>
      </c>
      <c r="L37" s="105"/>
      <c r="M37" s="19"/>
      <c r="N37" s="105"/>
      <c r="O37" s="105"/>
      <c r="P37" s="105"/>
      <c r="Q37" s="105"/>
      <c r="R37" s="110"/>
      <c r="T37" s="117"/>
      <c r="U37" s="102"/>
      <c r="V37" s="105"/>
      <c r="W37" s="18" t="s">
        <v>40</v>
      </c>
      <c r="X37" s="105"/>
      <c r="Y37" s="19"/>
      <c r="Z37" s="105"/>
      <c r="AA37" s="105"/>
      <c r="AB37" s="105"/>
      <c r="AC37" s="105"/>
      <c r="AD37" s="110"/>
      <c r="AE37" s="18" t="s">
        <v>40</v>
      </c>
      <c r="AF37" s="105"/>
      <c r="AG37" s="19"/>
      <c r="AH37" s="105"/>
      <c r="AI37" s="105"/>
      <c r="AJ37" s="105"/>
      <c r="AK37" s="105"/>
      <c r="AL37" s="110"/>
      <c r="AN37" s="102"/>
      <c r="AO37" s="105"/>
      <c r="AP37" s="18" t="s">
        <v>40</v>
      </c>
      <c r="AQ37" s="105"/>
      <c r="AR37" s="19"/>
      <c r="AS37" s="105"/>
      <c r="AT37" s="105"/>
      <c r="AU37" s="105"/>
      <c r="AV37" s="105"/>
      <c r="AW37" s="110"/>
      <c r="AX37" s="18" t="s">
        <v>40</v>
      </c>
      <c r="AY37" s="105"/>
      <c r="AZ37" s="19"/>
      <c r="BA37" s="105"/>
      <c r="BB37" s="105"/>
      <c r="BC37" s="105"/>
      <c r="BD37" s="105"/>
      <c r="BE37" s="110"/>
      <c r="BG37" s="102"/>
      <c r="BH37" s="105"/>
      <c r="BI37" s="18" t="s">
        <v>40</v>
      </c>
      <c r="BJ37" s="105"/>
      <c r="BK37" s="19"/>
      <c r="BL37" s="105"/>
      <c r="BM37" s="105"/>
      <c r="BN37" s="105"/>
      <c r="BO37" s="105"/>
      <c r="BP37" s="110"/>
      <c r="BQ37" s="18" t="s">
        <v>40</v>
      </c>
      <c r="BR37" s="105"/>
      <c r="BS37" s="19"/>
      <c r="BT37" s="105"/>
      <c r="BU37" s="105"/>
      <c r="BV37" s="105"/>
      <c r="BW37" s="105"/>
      <c r="BX37" s="110"/>
      <c r="BZ37" s="102"/>
      <c r="CA37" s="105"/>
      <c r="CB37" s="18" t="s">
        <v>40</v>
      </c>
      <c r="CC37" s="105"/>
      <c r="CD37" s="19"/>
      <c r="CE37" s="105"/>
      <c r="CF37" s="105"/>
      <c r="CG37" s="105"/>
      <c r="CH37" s="105"/>
      <c r="CI37" s="110"/>
      <c r="CJ37" s="18" t="s">
        <v>40</v>
      </c>
      <c r="CK37" s="105"/>
      <c r="CL37" s="19"/>
      <c r="CM37" s="105"/>
      <c r="CN37" s="105"/>
      <c r="CO37" s="105"/>
      <c r="CP37" s="105"/>
      <c r="CQ37" s="110"/>
      <c r="CS37" s="102"/>
      <c r="CT37" s="105"/>
      <c r="CU37" s="18" t="s">
        <v>40</v>
      </c>
      <c r="CV37" s="105"/>
      <c r="CW37" s="19"/>
      <c r="CX37" s="105"/>
      <c r="CY37" s="105"/>
      <c r="CZ37" s="105"/>
      <c r="DA37" s="105"/>
      <c r="DB37" s="110"/>
      <c r="DC37" s="18" t="s">
        <v>40</v>
      </c>
      <c r="DD37" s="105"/>
      <c r="DE37" s="19"/>
      <c r="DF37" s="105"/>
      <c r="DG37" s="105"/>
      <c r="DH37" s="105"/>
      <c r="DI37" s="105"/>
      <c r="DJ37" s="110"/>
    </row>
    <row r="38" spans="1:114" ht="14.25" customHeight="1" x14ac:dyDescent="0.3">
      <c r="A38" s="102"/>
      <c r="B38" s="105"/>
      <c r="C38" s="18" t="s">
        <v>41</v>
      </c>
      <c r="D38" s="105"/>
      <c r="E38" s="19"/>
      <c r="F38" s="105"/>
      <c r="G38" s="105"/>
      <c r="H38" s="105"/>
      <c r="I38" s="105"/>
      <c r="J38" s="110"/>
      <c r="K38" s="18" t="s">
        <v>41</v>
      </c>
      <c r="L38" s="105"/>
      <c r="M38" s="19"/>
      <c r="N38" s="105"/>
      <c r="O38" s="105"/>
      <c r="P38" s="105"/>
      <c r="Q38" s="105"/>
      <c r="R38" s="110"/>
      <c r="T38" s="117"/>
      <c r="U38" s="102"/>
      <c r="V38" s="105"/>
      <c r="W38" s="18" t="s">
        <v>41</v>
      </c>
      <c r="X38" s="105"/>
      <c r="Y38" s="19"/>
      <c r="Z38" s="105"/>
      <c r="AA38" s="105"/>
      <c r="AB38" s="105"/>
      <c r="AC38" s="105"/>
      <c r="AD38" s="110"/>
      <c r="AE38" s="18" t="s">
        <v>41</v>
      </c>
      <c r="AF38" s="105"/>
      <c r="AG38" s="19"/>
      <c r="AH38" s="105"/>
      <c r="AI38" s="105"/>
      <c r="AJ38" s="105"/>
      <c r="AK38" s="105"/>
      <c r="AL38" s="110"/>
      <c r="AN38" s="102"/>
      <c r="AO38" s="105"/>
      <c r="AP38" s="18" t="s">
        <v>41</v>
      </c>
      <c r="AQ38" s="105"/>
      <c r="AR38" s="19"/>
      <c r="AS38" s="105"/>
      <c r="AT38" s="105"/>
      <c r="AU38" s="105"/>
      <c r="AV38" s="105"/>
      <c r="AW38" s="110"/>
      <c r="AX38" s="18" t="s">
        <v>41</v>
      </c>
      <c r="AY38" s="105"/>
      <c r="AZ38" s="19"/>
      <c r="BA38" s="105"/>
      <c r="BB38" s="105"/>
      <c r="BC38" s="105"/>
      <c r="BD38" s="105"/>
      <c r="BE38" s="110"/>
      <c r="BG38" s="102"/>
      <c r="BH38" s="105"/>
      <c r="BI38" s="18" t="s">
        <v>41</v>
      </c>
      <c r="BJ38" s="105"/>
      <c r="BK38" s="19"/>
      <c r="BL38" s="105"/>
      <c r="BM38" s="105"/>
      <c r="BN38" s="105"/>
      <c r="BO38" s="105"/>
      <c r="BP38" s="110"/>
      <c r="BQ38" s="18" t="s">
        <v>41</v>
      </c>
      <c r="BR38" s="105"/>
      <c r="BS38" s="19"/>
      <c r="BT38" s="105"/>
      <c r="BU38" s="105"/>
      <c r="BV38" s="105"/>
      <c r="BW38" s="105"/>
      <c r="BX38" s="110"/>
      <c r="BZ38" s="102"/>
      <c r="CA38" s="105"/>
      <c r="CB38" s="18" t="s">
        <v>41</v>
      </c>
      <c r="CC38" s="105"/>
      <c r="CD38" s="19"/>
      <c r="CE38" s="105"/>
      <c r="CF38" s="105"/>
      <c r="CG38" s="105"/>
      <c r="CH38" s="105"/>
      <c r="CI38" s="110"/>
      <c r="CJ38" s="18" t="s">
        <v>41</v>
      </c>
      <c r="CK38" s="105"/>
      <c r="CL38" s="19"/>
      <c r="CM38" s="105"/>
      <c r="CN38" s="105"/>
      <c r="CO38" s="105"/>
      <c r="CP38" s="105"/>
      <c r="CQ38" s="110"/>
      <c r="CS38" s="102"/>
      <c r="CT38" s="105"/>
      <c r="CU38" s="18" t="s">
        <v>41</v>
      </c>
      <c r="CV38" s="105"/>
      <c r="CW38" s="19"/>
      <c r="CX38" s="105"/>
      <c r="CY38" s="105"/>
      <c r="CZ38" s="105"/>
      <c r="DA38" s="105"/>
      <c r="DB38" s="110"/>
      <c r="DC38" s="18" t="s">
        <v>41</v>
      </c>
      <c r="DD38" s="105"/>
      <c r="DE38" s="19"/>
      <c r="DF38" s="105"/>
      <c r="DG38" s="105"/>
      <c r="DH38" s="105"/>
      <c r="DI38" s="105"/>
      <c r="DJ38" s="110"/>
    </row>
    <row r="39" spans="1:114" ht="14.25" customHeight="1" x14ac:dyDescent="0.3">
      <c r="A39" s="102"/>
      <c r="B39" s="105"/>
      <c r="C39" s="18" t="s">
        <v>42</v>
      </c>
      <c r="D39" s="105"/>
      <c r="E39" s="19"/>
      <c r="F39" s="105"/>
      <c r="G39" s="105"/>
      <c r="H39" s="105"/>
      <c r="I39" s="105"/>
      <c r="J39" s="110"/>
      <c r="K39" s="18" t="s">
        <v>42</v>
      </c>
      <c r="L39" s="105"/>
      <c r="M39" s="19"/>
      <c r="N39" s="105"/>
      <c r="O39" s="105"/>
      <c r="P39" s="105"/>
      <c r="Q39" s="105"/>
      <c r="R39" s="110"/>
      <c r="T39" s="117"/>
      <c r="U39" s="102"/>
      <c r="V39" s="105"/>
      <c r="W39" s="18" t="s">
        <v>42</v>
      </c>
      <c r="X39" s="105"/>
      <c r="Y39" s="19"/>
      <c r="Z39" s="105"/>
      <c r="AA39" s="105"/>
      <c r="AB39" s="105"/>
      <c r="AC39" s="105"/>
      <c r="AD39" s="110"/>
      <c r="AE39" s="18" t="s">
        <v>42</v>
      </c>
      <c r="AF39" s="105"/>
      <c r="AG39" s="19"/>
      <c r="AH39" s="105"/>
      <c r="AI39" s="105"/>
      <c r="AJ39" s="105"/>
      <c r="AK39" s="105"/>
      <c r="AL39" s="110"/>
      <c r="AN39" s="102"/>
      <c r="AO39" s="105"/>
      <c r="AP39" s="18" t="s">
        <v>42</v>
      </c>
      <c r="AQ39" s="105"/>
      <c r="AR39" s="19"/>
      <c r="AS39" s="105"/>
      <c r="AT39" s="105"/>
      <c r="AU39" s="105"/>
      <c r="AV39" s="105"/>
      <c r="AW39" s="110"/>
      <c r="AX39" s="18" t="s">
        <v>42</v>
      </c>
      <c r="AY39" s="105"/>
      <c r="AZ39" s="19"/>
      <c r="BA39" s="105"/>
      <c r="BB39" s="105"/>
      <c r="BC39" s="105"/>
      <c r="BD39" s="105"/>
      <c r="BE39" s="110"/>
      <c r="BG39" s="102"/>
      <c r="BH39" s="105"/>
      <c r="BI39" s="18" t="s">
        <v>42</v>
      </c>
      <c r="BJ39" s="105"/>
      <c r="BK39" s="19"/>
      <c r="BL39" s="105"/>
      <c r="BM39" s="105"/>
      <c r="BN39" s="105"/>
      <c r="BO39" s="105"/>
      <c r="BP39" s="110"/>
      <c r="BQ39" s="18" t="s">
        <v>42</v>
      </c>
      <c r="BR39" s="105"/>
      <c r="BS39" s="19"/>
      <c r="BT39" s="105"/>
      <c r="BU39" s="105"/>
      <c r="BV39" s="105"/>
      <c r="BW39" s="105"/>
      <c r="BX39" s="110"/>
      <c r="BZ39" s="102"/>
      <c r="CA39" s="105"/>
      <c r="CB39" s="18" t="s">
        <v>42</v>
      </c>
      <c r="CC39" s="105"/>
      <c r="CD39" s="19"/>
      <c r="CE39" s="105"/>
      <c r="CF39" s="105"/>
      <c r="CG39" s="105"/>
      <c r="CH39" s="105"/>
      <c r="CI39" s="110"/>
      <c r="CJ39" s="18" t="s">
        <v>42</v>
      </c>
      <c r="CK39" s="105"/>
      <c r="CL39" s="19"/>
      <c r="CM39" s="105"/>
      <c r="CN39" s="105"/>
      <c r="CO39" s="105"/>
      <c r="CP39" s="105"/>
      <c r="CQ39" s="110"/>
      <c r="CS39" s="102"/>
      <c r="CT39" s="105"/>
      <c r="CU39" s="18" t="s">
        <v>42</v>
      </c>
      <c r="CV39" s="105"/>
      <c r="CW39" s="19"/>
      <c r="CX39" s="105"/>
      <c r="CY39" s="105"/>
      <c r="CZ39" s="105"/>
      <c r="DA39" s="105"/>
      <c r="DB39" s="110"/>
      <c r="DC39" s="18" t="s">
        <v>42</v>
      </c>
      <c r="DD39" s="105"/>
      <c r="DE39" s="19"/>
      <c r="DF39" s="105"/>
      <c r="DG39" s="105"/>
      <c r="DH39" s="105"/>
      <c r="DI39" s="105"/>
      <c r="DJ39" s="110"/>
    </row>
    <row r="40" spans="1:114" ht="14.25" customHeight="1" x14ac:dyDescent="0.3">
      <c r="A40" s="102"/>
      <c r="B40" s="105"/>
      <c r="C40" s="18" t="s">
        <v>43</v>
      </c>
      <c r="D40" s="105"/>
      <c r="E40" s="19"/>
      <c r="F40" s="105"/>
      <c r="G40" s="105"/>
      <c r="H40" s="105"/>
      <c r="I40" s="105"/>
      <c r="J40" s="110"/>
      <c r="K40" s="18" t="s">
        <v>43</v>
      </c>
      <c r="L40" s="105"/>
      <c r="M40" s="19"/>
      <c r="N40" s="105"/>
      <c r="O40" s="105"/>
      <c r="P40" s="105"/>
      <c r="Q40" s="105"/>
      <c r="R40" s="110"/>
      <c r="T40" s="117"/>
      <c r="U40" s="102"/>
      <c r="V40" s="105"/>
      <c r="W40" s="18" t="s">
        <v>43</v>
      </c>
      <c r="X40" s="105"/>
      <c r="Y40" s="19"/>
      <c r="Z40" s="105"/>
      <c r="AA40" s="105"/>
      <c r="AB40" s="105"/>
      <c r="AC40" s="105"/>
      <c r="AD40" s="110"/>
      <c r="AE40" s="18" t="s">
        <v>43</v>
      </c>
      <c r="AF40" s="105"/>
      <c r="AG40" s="19"/>
      <c r="AH40" s="105"/>
      <c r="AI40" s="105"/>
      <c r="AJ40" s="105"/>
      <c r="AK40" s="105"/>
      <c r="AL40" s="110"/>
      <c r="AN40" s="102"/>
      <c r="AO40" s="105"/>
      <c r="AP40" s="18" t="s">
        <v>43</v>
      </c>
      <c r="AQ40" s="105"/>
      <c r="AR40" s="19"/>
      <c r="AS40" s="105"/>
      <c r="AT40" s="105"/>
      <c r="AU40" s="105"/>
      <c r="AV40" s="105"/>
      <c r="AW40" s="110"/>
      <c r="AX40" s="18" t="s">
        <v>43</v>
      </c>
      <c r="AY40" s="105"/>
      <c r="AZ40" s="19"/>
      <c r="BA40" s="105"/>
      <c r="BB40" s="105"/>
      <c r="BC40" s="105"/>
      <c r="BD40" s="105"/>
      <c r="BE40" s="110"/>
      <c r="BG40" s="102"/>
      <c r="BH40" s="105"/>
      <c r="BI40" s="18" t="s">
        <v>43</v>
      </c>
      <c r="BJ40" s="105"/>
      <c r="BK40" s="19"/>
      <c r="BL40" s="105"/>
      <c r="BM40" s="105"/>
      <c r="BN40" s="105"/>
      <c r="BO40" s="105"/>
      <c r="BP40" s="110"/>
      <c r="BQ40" s="18" t="s">
        <v>43</v>
      </c>
      <c r="BR40" s="105"/>
      <c r="BS40" s="19"/>
      <c r="BT40" s="105"/>
      <c r="BU40" s="105"/>
      <c r="BV40" s="105"/>
      <c r="BW40" s="105"/>
      <c r="BX40" s="110"/>
      <c r="BZ40" s="102"/>
      <c r="CA40" s="105"/>
      <c r="CB40" s="18" t="s">
        <v>43</v>
      </c>
      <c r="CC40" s="105"/>
      <c r="CD40" s="19"/>
      <c r="CE40" s="105"/>
      <c r="CF40" s="105"/>
      <c r="CG40" s="105"/>
      <c r="CH40" s="105"/>
      <c r="CI40" s="110"/>
      <c r="CJ40" s="18" t="s">
        <v>43</v>
      </c>
      <c r="CK40" s="105"/>
      <c r="CL40" s="19"/>
      <c r="CM40" s="105"/>
      <c r="CN40" s="105"/>
      <c r="CO40" s="105"/>
      <c r="CP40" s="105"/>
      <c r="CQ40" s="110"/>
      <c r="CS40" s="102"/>
      <c r="CT40" s="105"/>
      <c r="CU40" s="18" t="s">
        <v>43</v>
      </c>
      <c r="CV40" s="105"/>
      <c r="CW40" s="19"/>
      <c r="CX40" s="105"/>
      <c r="CY40" s="105"/>
      <c r="CZ40" s="105"/>
      <c r="DA40" s="105"/>
      <c r="DB40" s="110"/>
      <c r="DC40" s="18" t="s">
        <v>43</v>
      </c>
      <c r="DD40" s="105"/>
      <c r="DE40" s="19"/>
      <c r="DF40" s="105"/>
      <c r="DG40" s="105"/>
      <c r="DH40" s="105"/>
      <c r="DI40" s="105"/>
      <c r="DJ40" s="110"/>
    </row>
    <row r="41" spans="1:114" ht="14.25" customHeight="1" x14ac:dyDescent="0.3">
      <c r="A41" s="102"/>
      <c r="B41" s="105"/>
      <c r="C41" s="18" t="s">
        <v>44</v>
      </c>
      <c r="D41" s="105"/>
      <c r="E41" s="19"/>
      <c r="F41" s="105"/>
      <c r="G41" s="105"/>
      <c r="H41" s="105"/>
      <c r="I41" s="105"/>
      <c r="J41" s="110"/>
      <c r="K41" s="18" t="s">
        <v>44</v>
      </c>
      <c r="L41" s="105"/>
      <c r="M41" s="19"/>
      <c r="N41" s="105"/>
      <c r="O41" s="105"/>
      <c r="P41" s="105"/>
      <c r="Q41" s="105"/>
      <c r="R41" s="110"/>
      <c r="T41" s="117"/>
      <c r="U41" s="102"/>
      <c r="V41" s="105"/>
      <c r="W41" s="18" t="s">
        <v>44</v>
      </c>
      <c r="X41" s="105"/>
      <c r="Y41" s="19"/>
      <c r="Z41" s="105"/>
      <c r="AA41" s="105"/>
      <c r="AB41" s="105"/>
      <c r="AC41" s="105"/>
      <c r="AD41" s="110"/>
      <c r="AE41" s="18" t="s">
        <v>44</v>
      </c>
      <c r="AF41" s="105"/>
      <c r="AG41" s="19"/>
      <c r="AH41" s="105"/>
      <c r="AI41" s="105"/>
      <c r="AJ41" s="105"/>
      <c r="AK41" s="105"/>
      <c r="AL41" s="110"/>
      <c r="AN41" s="102"/>
      <c r="AO41" s="105"/>
      <c r="AP41" s="18" t="s">
        <v>44</v>
      </c>
      <c r="AQ41" s="105"/>
      <c r="AR41" s="19"/>
      <c r="AS41" s="105"/>
      <c r="AT41" s="105"/>
      <c r="AU41" s="105"/>
      <c r="AV41" s="105"/>
      <c r="AW41" s="110"/>
      <c r="AX41" s="18" t="s">
        <v>44</v>
      </c>
      <c r="AY41" s="105"/>
      <c r="AZ41" s="19"/>
      <c r="BA41" s="105"/>
      <c r="BB41" s="105"/>
      <c r="BC41" s="105"/>
      <c r="BD41" s="105"/>
      <c r="BE41" s="110"/>
      <c r="BG41" s="102"/>
      <c r="BH41" s="105"/>
      <c r="BI41" s="18" t="s">
        <v>44</v>
      </c>
      <c r="BJ41" s="105"/>
      <c r="BK41" s="19"/>
      <c r="BL41" s="105"/>
      <c r="BM41" s="105"/>
      <c r="BN41" s="105"/>
      <c r="BO41" s="105"/>
      <c r="BP41" s="110"/>
      <c r="BQ41" s="18" t="s">
        <v>44</v>
      </c>
      <c r="BR41" s="105"/>
      <c r="BS41" s="19"/>
      <c r="BT41" s="105"/>
      <c r="BU41" s="105"/>
      <c r="BV41" s="105"/>
      <c r="BW41" s="105"/>
      <c r="BX41" s="110"/>
      <c r="BZ41" s="102"/>
      <c r="CA41" s="105"/>
      <c r="CB41" s="18" t="s">
        <v>44</v>
      </c>
      <c r="CC41" s="105"/>
      <c r="CD41" s="19"/>
      <c r="CE41" s="105"/>
      <c r="CF41" s="105"/>
      <c r="CG41" s="105"/>
      <c r="CH41" s="105"/>
      <c r="CI41" s="110"/>
      <c r="CJ41" s="18" t="s">
        <v>44</v>
      </c>
      <c r="CK41" s="105"/>
      <c r="CL41" s="19"/>
      <c r="CM41" s="105"/>
      <c r="CN41" s="105"/>
      <c r="CO41" s="105"/>
      <c r="CP41" s="105"/>
      <c r="CQ41" s="110"/>
      <c r="CS41" s="102"/>
      <c r="CT41" s="105"/>
      <c r="CU41" s="18" t="s">
        <v>44</v>
      </c>
      <c r="CV41" s="105"/>
      <c r="CW41" s="19"/>
      <c r="CX41" s="105"/>
      <c r="CY41" s="105"/>
      <c r="CZ41" s="105"/>
      <c r="DA41" s="105"/>
      <c r="DB41" s="110"/>
      <c r="DC41" s="18" t="s">
        <v>44</v>
      </c>
      <c r="DD41" s="105"/>
      <c r="DE41" s="19"/>
      <c r="DF41" s="105"/>
      <c r="DG41" s="105"/>
      <c r="DH41" s="105"/>
      <c r="DI41" s="105"/>
      <c r="DJ41" s="110"/>
    </row>
    <row r="42" spans="1:114" ht="14.25" customHeight="1" x14ac:dyDescent="0.3">
      <c r="A42" s="102"/>
      <c r="B42" s="105"/>
      <c r="C42" s="18" t="s">
        <v>45</v>
      </c>
      <c r="D42" s="105"/>
      <c r="E42" s="19"/>
      <c r="F42" s="105"/>
      <c r="G42" s="105"/>
      <c r="H42" s="105"/>
      <c r="I42" s="105"/>
      <c r="J42" s="110"/>
      <c r="K42" s="18" t="s">
        <v>45</v>
      </c>
      <c r="L42" s="105"/>
      <c r="M42" s="19"/>
      <c r="N42" s="105"/>
      <c r="O42" s="105"/>
      <c r="P42" s="105"/>
      <c r="Q42" s="105"/>
      <c r="R42" s="110"/>
      <c r="T42" s="117"/>
      <c r="U42" s="102"/>
      <c r="V42" s="105"/>
      <c r="W42" s="18" t="s">
        <v>45</v>
      </c>
      <c r="X42" s="105"/>
      <c r="Y42" s="19"/>
      <c r="Z42" s="105"/>
      <c r="AA42" s="105"/>
      <c r="AB42" s="105"/>
      <c r="AC42" s="105"/>
      <c r="AD42" s="110"/>
      <c r="AE42" s="18" t="s">
        <v>45</v>
      </c>
      <c r="AF42" s="105"/>
      <c r="AG42" s="19"/>
      <c r="AH42" s="105"/>
      <c r="AI42" s="105"/>
      <c r="AJ42" s="105"/>
      <c r="AK42" s="105"/>
      <c r="AL42" s="110"/>
      <c r="AN42" s="102"/>
      <c r="AO42" s="105"/>
      <c r="AP42" s="18" t="s">
        <v>45</v>
      </c>
      <c r="AQ42" s="105"/>
      <c r="AR42" s="19"/>
      <c r="AS42" s="105"/>
      <c r="AT42" s="105"/>
      <c r="AU42" s="105"/>
      <c r="AV42" s="105"/>
      <c r="AW42" s="110"/>
      <c r="AX42" s="18" t="s">
        <v>45</v>
      </c>
      <c r="AY42" s="105"/>
      <c r="AZ42" s="19"/>
      <c r="BA42" s="105"/>
      <c r="BB42" s="105"/>
      <c r="BC42" s="105"/>
      <c r="BD42" s="105"/>
      <c r="BE42" s="110"/>
      <c r="BG42" s="102"/>
      <c r="BH42" s="105"/>
      <c r="BI42" s="18" t="s">
        <v>45</v>
      </c>
      <c r="BJ42" s="105"/>
      <c r="BK42" s="19"/>
      <c r="BL42" s="105"/>
      <c r="BM42" s="105"/>
      <c r="BN42" s="105"/>
      <c r="BO42" s="105"/>
      <c r="BP42" s="110"/>
      <c r="BQ42" s="18" t="s">
        <v>45</v>
      </c>
      <c r="BR42" s="105"/>
      <c r="BS42" s="19"/>
      <c r="BT42" s="105"/>
      <c r="BU42" s="105"/>
      <c r="BV42" s="105"/>
      <c r="BW42" s="105"/>
      <c r="BX42" s="110"/>
      <c r="BZ42" s="102"/>
      <c r="CA42" s="105"/>
      <c r="CB42" s="18" t="s">
        <v>45</v>
      </c>
      <c r="CC42" s="105"/>
      <c r="CD42" s="19"/>
      <c r="CE42" s="105"/>
      <c r="CF42" s="105"/>
      <c r="CG42" s="105"/>
      <c r="CH42" s="105"/>
      <c r="CI42" s="110"/>
      <c r="CJ42" s="18" t="s">
        <v>45</v>
      </c>
      <c r="CK42" s="105"/>
      <c r="CL42" s="19"/>
      <c r="CM42" s="105"/>
      <c r="CN42" s="105"/>
      <c r="CO42" s="105"/>
      <c r="CP42" s="105"/>
      <c r="CQ42" s="110"/>
      <c r="CS42" s="102"/>
      <c r="CT42" s="105"/>
      <c r="CU42" s="18" t="s">
        <v>45</v>
      </c>
      <c r="CV42" s="105"/>
      <c r="CW42" s="19"/>
      <c r="CX42" s="105"/>
      <c r="CY42" s="105"/>
      <c r="CZ42" s="105"/>
      <c r="DA42" s="105"/>
      <c r="DB42" s="110"/>
      <c r="DC42" s="18" t="s">
        <v>45</v>
      </c>
      <c r="DD42" s="105"/>
      <c r="DE42" s="19"/>
      <c r="DF42" s="105"/>
      <c r="DG42" s="105"/>
      <c r="DH42" s="105"/>
      <c r="DI42" s="105"/>
      <c r="DJ42" s="110"/>
    </row>
    <row r="43" spans="1:114" ht="14.25" customHeight="1" x14ac:dyDescent="0.3">
      <c r="A43" s="102"/>
      <c r="B43" s="105"/>
      <c r="C43" s="18" t="s">
        <v>46</v>
      </c>
      <c r="D43" s="105"/>
      <c r="E43" s="19"/>
      <c r="F43" s="105"/>
      <c r="G43" s="105"/>
      <c r="H43" s="105"/>
      <c r="I43" s="105"/>
      <c r="J43" s="110"/>
      <c r="K43" s="18" t="s">
        <v>46</v>
      </c>
      <c r="L43" s="105"/>
      <c r="M43" s="19"/>
      <c r="N43" s="105"/>
      <c r="O43" s="105"/>
      <c r="P43" s="105"/>
      <c r="Q43" s="105"/>
      <c r="R43" s="110"/>
      <c r="T43" s="117"/>
      <c r="U43" s="102"/>
      <c r="V43" s="105"/>
      <c r="W43" s="18" t="s">
        <v>46</v>
      </c>
      <c r="X43" s="105"/>
      <c r="Y43" s="19"/>
      <c r="Z43" s="105"/>
      <c r="AA43" s="105"/>
      <c r="AB43" s="105"/>
      <c r="AC43" s="105"/>
      <c r="AD43" s="110"/>
      <c r="AE43" s="18" t="s">
        <v>46</v>
      </c>
      <c r="AF43" s="105"/>
      <c r="AG43" s="19"/>
      <c r="AH43" s="105"/>
      <c r="AI43" s="105"/>
      <c r="AJ43" s="105"/>
      <c r="AK43" s="105"/>
      <c r="AL43" s="110"/>
      <c r="AN43" s="102"/>
      <c r="AO43" s="105"/>
      <c r="AP43" s="18" t="s">
        <v>46</v>
      </c>
      <c r="AQ43" s="105"/>
      <c r="AR43" s="19"/>
      <c r="AS43" s="105"/>
      <c r="AT43" s="105"/>
      <c r="AU43" s="105"/>
      <c r="AV43" s="105"/>
      <c r="AW43" s="110"/>
      <c r="AX43" s="18" t="s">
        <v>46</v>
      </c>
      <c r="AY43" s="105"/>
      <c r="AZ43" s="19"/>
      <c r="BA43" s="105"/>
      <c r="BB43" s="105"/>
      <c r="BC43" s="105"/>
      <c r="BD43" s="105"/>
      <c r="BE43" s="110"/>
      <c r="BG43" s="102"/>
      <c r="BH43" s="105"/>
      <c r="BI43" s="18" t="s">
        <v>46</v>
      </c>
      <c r="BJ43" s="105"/>
      <c r="BK43" s="19"/>
      <c r="BL43" s="105"/>
      <c r="BM43" s="105"/>
      <c r="BN43" s="105"/>
      <c r="BO43" s="105"/>
      <c r="BP43" s="110"/>
      <c r="BQ43" s="18" t="s">
        <v>46</v>
      </c>
      <c r="BR43" s="105"/>
      <c r="BS43" s="19"/>
      <c r="BT43" s="105"/>
      <c r="BU43" s="105"/>
      <c r="BV43" s="105"/>
      <c r="BW43" s="105"/>
      <c r="BX43" s="110"/>
      <c r="BZ43" s="102"/>
      <c r="CA43" s="105"/>
      <c r="CB43" s="18" t="s">
        <v>46</v>
      </c>
      <c r="CC43" s="105"/>
      <c r="CD43" s="19"/>
      <c r="CE43" s="105"/>
      <c r="CF43" s="105"/>
      <c r="CG43" s="105"/>
      <c r="CH43" s="105"/>
      <c r="CI43" s="110"/>
      <c r="CJ43" s="18" t="s">
        <v>46</v>
      </c>
      <c r="CK43" s="105"/>
      <c r="CL43" s="19"/>
      <c r="CM43" s="105"/>
      <c r="CN43" s="105"/>
      <c r="CO43" s="105"/>
      <c r="CP43" s="105"/>
      <c r="CQ43" s="110"/>
      <c r="CS43" s="102"/>
      <c r="CT43" s="105"/>
      <c r="CU43" s="18" t="s">
        <v>46</v>
      </c>
      <c r="CV43" s="105"/>
      <c r="CW43" s="19"/>
      <c r="CX43" s="105"/>
      <c r="CY43" s="105"/>
      <c r="CZ43" s="105"/>
      <c r="DA43" s="105"/>
      <c r="DB43" s="110"/>
      <c r="DC43" s="18" t="s">
        <v>46</v>
      </c>
      <c r="DD43" s="105"/>
      <c r="DE43" s="19"/>
      <c r="DF43" s="105"/>
      <c r="DG43" s="105"/>
      <c r="DH43" s="105"/>
      <c r="DI43" s="105"/>
      <c r="DJ43" s="110"/>
    </row>
    <row r="44" spans="1:114" ht="14.25" customHeight="1" x14ac:dyDescent="0.3">
      <c r="A44" s="102"/>
      <c r="B44" s="105"/>
      <c r="C44" s="18" t="s">
        <v>47</v>
      </c>
      <c r="D44" s="105"/>
      <c r="E44" s="19"/>
      <c r="F44" s="105"/>
      <c r="G44" s="105"/>
      <c r="H44" s="105"/>
      <c r="I44" s="105"/>
      <c r="J44" s="110"/>
      <c r="K44" s="18" t="s">
        <v>47</v>
      </c>
      <c r="L44" s="105"/>
      <c r="M44" s="19"/>
      <c r="N44" s="105"/>
      <c r="O44" s="105"/>
      <c r="P44" s="105"/>
      <c r="Q44" s="105"/>
      <c r="R44" s="110"/>
      <c r="T44" s="117"/>
      <c r="U44" s="102"/>
      <c r="V44" s="105"/>
      <c r="W44" s="18" t="s">
        <v>47</v>
      </c>
      <c r="X44" s="105"/>
      <c r="Y44" s="19"/>
      <c r="Z44" s="105"/>
      <c r="AA44" s="105"/>
      <c r="AB44" s="105"/>
      <c r="AC44" s="105"/>
      <c r="AD44" s="110"/>
      <c r="AE44" s="18" t="s">
        <v>47</v>
      </c>
      <c r="AF44" s="105"/>
      <c r="AG44" s="19"/>
      <c r="AH44" s="105"/>
      <c r="AI44" s="105"/>
      <c r="AJ44" s="105"/>
      <c r="AK44" s="105"/>
      <c r="AL44" s="110"/>
      <c r="AN44" s="102"/>
      <c r="AO44" s="105"/>
      <c r="AP44" s="18" t="s">
        <v>47</v>
      </c>
      <c r="AQ44" s="105"/>
      <c r="AR44" s="19"/>
      <c r="AS44" s="105"/>
      <c r="AT44" s="105"/>
      <c r="AU44" s="105"/>
      <c r="AV44" s="105"/>
      <c r="AW44" s="110"/>
      <c r="AX44" s="18" t="s">
        <v>47</v>
      </c>
      <c r="AY44" s="105"/>
      <c r="AZ44" s="19"/>
      <c r="BA44" s="105"/>
      <c r="BB44" s="105"/>
      <c r="BC44" s="105"/>
      <c r="BD44" s="105"/>
      <c r="BE44" s="110"/>
      <c r="BG44" s="102"/>
      <c r="BH44" s="105"/>
      <c r="BI44" s="18" t="s">
        <v>47</v>
      </c>
      <c r="BJ44" s="105"/>
      <c r="BK44" s="19"/>
      <c r="BL44" s="105"/>
      <c r="BM44" s="105"/>
      <c r="BN44" s="105"/>
      <c r="BO44" s="105"/>
      <c r="BP44" s="110"/>
      <c r="BQ44" s="18" t="s">
        <v>47</v>
      </c>
      <c r="BR44" s="105"/>
      <c r="BS44" s="19"/>
      <c r="BT44" s="105"/>
      <c r="BU44" s="105"/>
      <c r="BV44" s="105"/>
      <c r="BW44" s="105"/>
      <c r="BX44" s="110"/>
      <c r="BZ44" s="102"/>
      <c r="CA44" s="105"/>
      <c r="CB44" s="18" t="s">
        <v>47</v>
      </c>
      <c r="CC44" s="105"/>
      <c r="CD44" s="19"/>
      <c r="CE44" s="105"/>
      <c r="CF44" s="105"/>
      <c r="CG44" s="105"/>
      <c r="CH44" s="105"/>
      <c r="CI44" s="110"/>
      <c r="CJ44" s="18" t="s">
        <v>47</v>
      </c>
      <c r="CK44" s="105"/>
      <c r="CL44" s="19"/>
      <c r="CM44" s="105"/>
      <c r="CN44" s="105"/>
      <c r="CO44" s="105"/>
      <c r="CP44" s="105"/>
      <c r="CQ44" s="110"/>
      <c r="CS44" s="102"/>
      <c r="CT44" s="105"/>
      <c r="CU44" s="18" t="s">
        <v>47</v>
      </c>
      <c r="CV44" s="105"/>
      <c r="CW44" s="19"/>
      <c r="CX44" s="105"/>
      <c r="CY44" s="105"/>
      <c r="CZ44" s="105"/>
      <c r="DA44" s="105"/>
      <c r="DB44" s="110"/>
      <c r="DC44" s="18" t="s">
        <v>47</v>
      </c>
      <c r="DD44" s="105"/>
      <c r="DE44" s="19"/>
      <c r="DF44" s="105"/>
      <c r="DG44" s="105"/>
      <c r="DH44" s="105"/>
      <c r="DI44" s="105"/>
      <c r="DJ44" s="110"/>
    </row>
    <row r="45" spans="1:114" ht="14.25" customHeight="1" x14ac:dyDescent="0.3">
      <c r="A45" s="103"/>
      <c r="B45" s="106"/>
      <c r="C45" s="21" t="s">
        <v>48</v>
      </c>
      <c r="D45" s="106"/>
      <c r="E45" s="22"/>
      <c r="F45" s="106"/>
      <c r="G45" s="106"/>
      <c r="H45" s="106"/>
      <c r="I45" s="106"/>
      <c r="J45" s="111"/>
      <c r="K45" s="21" t="s">
        <v>48</v>
      </c>
      <c r="L45" s="106"/>
      <c r="M45" s="22"/>
      <c r="N45" s="106"/>
      <c r="O45" s="106"/>
      <c r="P45" s="106"/>
      <c r="Q45" s="106"/>
      <c r="R45" s="111"/>
      <c r="T45" s="117"/>
      <c r="U45" s="103"/>
      <c r="V45" s="106"/>
      <c r="W45" s="21" t="s">
        <v>48</v>
      </c>
      <c r="X45" s="106"/>
      <c r="Y45" s="22"/>
      <c r="Z45" s="106"/>
      <c r="AA45" s="106"/>
      <c r="AB45" s="106"/>
      <c r="AC45" s="106"/>
      <c r="AD45" s="111"/>
      <c r="AE45" s="21" t="s">
        <v>48</v>
      </c>
      <c r="AF45" s="106"/>
      <c r="AG45" s="22"/>
      <c r="AH45" s="106"/>
      <c r="AI45" s="106"/>
      <c r="AJ45" s="106"/>
      <c r="AK45" s="106"/>
      <c r="AL45" s="111"/>
      <c r="AN45" s="103"/>
      <c r="AO45" s="106"/>
      <c r="AP45" s="21" t="s">
        <v>48</v>
      </c>
      <c r="AQ45" s="106"/>
      <c r="AR45" s="22"/>
      <c r="AS45" s="106"/>
      <c r="AT45" s="106"/>
      <c r="AU45" s="106"/>
      <c r="AV45" s="106"/>
      <c r="AW45" s="111"/>
      <c r="AX45" s="21" t="s">
        <v>48</v>
      </c>
      <c r="AY45" s="106"/>
      <c r="AZ45" s="22"/>
      <c r="BA45" s="106"/>
      <c r="BB45" s="106"/>
      <c r="BC45" s="106"/>
      <c r="BD45" s="106"/>
      <c r="BE45" s="111"/>
      <c r="BG45" s="103"/>
      <c r="BH45" s="106"/>
      <c r="BI45" s="21" t="s">
        <v>48</v>
      </c>
      <c r="BJ45" s="106"/>
      <c r="BK45" s="22"/>
      <c r="BL45" s="106"/>
      <c r="BM45" s="106"/>
      <c r="BN45" s="106"/>
      <c r="BO45" s="106"/>
      <c r="BP45" s="111"/>
      <c r="BQ45" s="21" t="s">
        <v>48</v>
      </c>
      <c r="BR45" s="106"/>
      <c r="BS45" s="22"/>
      <c r="BT45" s="106"/>
      <c r="BU45" s="106"/>
      <c r="BV45" s="106"/>
      <c r="BW45" s="106"/>
      <c r="BX45" s="111"/>
      <c r="BZ45" s="103"/>
      <c r="CA45" s="106"/>
      <c r="CB45" s="21" t="s">
        <v>48</v>
      </c>
      <c r="CC45" s="106"/>
      <c r="CD45" s="22"/>
      <c r="CE45" s="106"/>
      <c r="CF45" s="106"/>
      <c r="CG45" s="106"/>
      <c r="CH45" s="106"/>
      <c r="CI45" s="111"/>
      <c r="CJ45" s="21" t="s">
        <v>48</v>
      </c>
      <c r="CK45" s="106"/>
      <c r="CL45" s="22"/>
      <c r="CM45" s="106"/>
      <c r="CN45" s="106"/>
      <c r="CO45" s="106"/>
      <c r="CP45" s="106"/>
      <c r="CQ45" s="111"/>
      <c r="CS45" s="103"/>
      <c r="CT45" s="106"/>
      <c r="CU45" s="21" t="s">
        <v>48</v>
      </c>
      <c r="CV45" s="106"/>
      <c r="CW45" s="22"/>
      <c r="CX45" s="106"/>
      <c r="CY45" s="106"/>
      <c r="CZ45" s="106"/>
      <c r="DA45" s="106"/>
      <c r="DB45" s="111"/>
      <c r="DC45" s="21" t="s">
        <v>48</v>
      </c>
      <c r="DD45" s="106"/>
      <c r="DE45" s="22"/>
      <c r="DF45" s="106"/>
      <c r="DG45" s="106"/>
      <c r="DH45" s="106"/>
      <c r="DI45" s="106"/>
      <c r="DJ45" s="111"/>
    </row>
    <row r="46" spans="1:114" ht="14.25" customHeight="1" x14ac:dyDescent="0.3">
      <c r="A46" s="101">
        <v>4</v>
      </c>
      <c r="B46" s="104" t="s">
        <v>28</v>
      </c>
      <c r="C46" s="12" t="s">
        <v>29</v>
      </c>
      <c r="D46" s="104"/>
      <c r="E46" s="60"/>
      <c r="F46" s="108"/>
      <c r="G46" s="104"/>
      <c r="H46" s="104"/>
      <c r="I46" s="108">
        <v>1</v>
      </c>
      <c r="J46" s="135"/>
      <c r="K46" s="12" t="s">
        <v>29</v>
      </c>
      <c r="L46" s="104"/>
      <c r="M46" s="13"/>
      <c r="N46" s="112"/>
      <c r="O46" s="104"/>
      <c r="P46" s="104"/>
      <c r="Q46" s="108">
        <v>1</v>
      </c>
      <c r="R46" s="135"/>
      <c r="T46" s="116"/>
      <c r="U46" s="101">
        <v>4</v>
      </c>
      <c r="V46" s="104" t="s">
        <v>28</v>
      </c>
      <c r="W46" s="12" t="s">
        <v>29</v>
      </c>
      <c r="X46" s="104"/>
      <c r="Y46" s="60"/>
      <c r="Z46" s="108"/>
      <c r="AA46" s="104"/>
      <c r="AB46" s="104"/>
      <c r="AC46" s="108">
        <v>1</v>
      </c>
      <c r="AD46" s="135"/>
      <c r="AE46" s="12" t="s">
        <v>29</v>
      </c>
      <c r="AF46" s="104"/>
      <c r="AG46" s="13"/>
      <c r="AH46" s="112"/>
      <c r="AI46" s="104"/>
      <c r="AJ46" s="104"/>
      <c r="AK46" s="108">
        <v>1</v>
      </c>
      <c r="AL46" s="135"/>
      <c r="AN46" s="101">
        <v>4</v>
      </c>
      <c r="AO46" s="104" t="s">
        <v>28</v>
      </c>
      <c r="AP46" s="12" t="s">
        <v>29</v>
      </c>
      <c r="AQ46" s="104"/>
      <c r="AR46" s="60"/>
      <c r="AS46" s="108"/>
      <c r="AT46" s="104"/>
      <c r="AU46" s="104"/>
      <c r="AV46" s="108">
        <v>1</v>
      </c>
      <c r="AW46" s="135"/>
      <c r="AX46" s="12" t="s">
        <v>29</v>
      </c>
      <c r="AY46" s="104"/>
      <c r="AZ46" s="13"/>
      <c r="BA46" s="112"/>
      <c r="BB46" s="104"/>
      <c r="BC46" s="104"/>
      <c r="BD46" s="108">
        <v>1</v>
      </c>
      <c r="BE46" s="135"/>
      <c r="BG46" s="101">
        <v>4</v>
      </c>
      <c r="BH46" s="104" t="s">
        <v>28</v>
      </c>
      <c r="BI46" s="12" t="s">
        <v>29</v>
      </c>
      <c r="BJ46" s="104"/>
      <c r="BK46" s="60"/>
      <c r="BL46" s="108"/>
      <c r="BM46" s="104"/>
      <c r="BN46" s="104"/>
      <c r="BO46" s="108">
        <v>1</v>
      </c>
      <c r="BP46" s="135"/>
      <c r="BQ46" s="12" t="s">
        <v>29</v>
      </c>
      <c r="BR46" s="104"/>
      <c r="BS46" s="13"/>
      <c r="BT46" s="112"/>
      <c r="BU46" s="104"/>
      <c r="BV46" s="104"/>
      <c r="BW46" s="108">
        <v>1</v>
      </c>
      <c r="BX46" s="135"/>
      <c r="BZ46" s="101">
        <v>4</v>
      </c>
      <c r="CA46" s="104" t="s">
        <v>28</v>
      </c>
      <c r="CB46" s="12" t="s">
        <v>29</v>
      </c>
      <c r="CC46" s="104"/>
      <c r="CD46" s="60"/>
      <c r="CE46" s="108"/>
      <c r="CF46" s="104"/>
      <c r="CG46" s="104"/>
      <c r="CH46" s="108">
        <v>1</v>
      </c>
      <c r="CI46" s="135"/>
      <c r="CJ46" s="12" t="s">
        <v>29</v>
      </c>
      <c r="CK46" s="104"/>
      <c r="CL46" s="13"/>
      <c r="CM46" s="112"/>
      <c r="CN46" s="104"/>
      <c r="CO46" s="104"/>
      <c r="CP46" s="108">
        <v>1</v>
      </c>
      <c r="CQ46" s="135"/>
      <c r="CS46" s="101">
        <v>4</v>
      </c>
      <c r="CT46" s="104" t="s">
        <v>28</v>
      </c>
      <c r="CU46" s="12" t="s">
        <v>29</v>
      </c>
      <c r="CV46" s="104"/>
      <c r="CW46" s="60"/>
      <c r="CX46" s="108"/>
      <c r="CY46" s="104"/>
      <c r="CZ46" s="104"/>
      <c r="DA46" s="108">
        <v>1</v>
      </c>
      <c r="DB46" s="135"/>
      <c r="DC46" s="12" t="s">
        <v>29</v>
      </c>
      <c r="DD46" s="104"/>
      <c r="DE46" s="13"/>
      <c r="DF46" s="112"/>
      <c r="DG46" s="104"/>
      <c r="DH46" s="104"/>
      <c r="DI46" s="108">
        <v>1</v>
      </c>
      <c r="DJ46" s="135"/>
    </row>
    <row r="47" spans="1:114" ht="14.25" customHeight="1" x14ac:dyDescent="0.3">
      <c r="A47" s="102"/>
      <c r="B47" s="105"/>
      <c r="C47" s="18" t="s">
        <v>37</v>
      </c>
      <c r="D47" s="105"/>
      <c r="E47" s="54"/>
      <c r="F47" s="105"/>
      <c r="G47" s="105"/>
      <c r="H47" s="105"/>
      <c r="I47" s="105"/>
      <c r="J47" s="110"/>
      <c r="K47" s="18" t="s">
        <v>37</v>
      </c>
      <c r="L47" s="105"/>
      <c r="M47" s="19"/>
      <c r="N47" s="105"/>
      <c r="O47" s="105"/>
      <c r="P47" s="105"/>
      <c r="Q47" s="105"/>
      <c r="R47" s="110"/>
      <c r="T47" s="117"/>
      <c r="U47" s="102"/>
      <c r="V47" s="105"/>
      <c r="W47" s="18" t="s">
        <v>37</v>
      </c>
      <c r="X47" s="105"/>
      <c r="Y47" s="54"/>
      <c r="Z47" s="105"/>
      <c r="AA47" s="105"/>
      <c r="AB47" s="105"/>
      <c r="AC47" s="105"/>
      <c r="AD47" s="110"/>
      <c r="AE47" s="18" t="s">
        <v>37</v>
      </c>
      <c r="AF47" s="105"/>
      <c r="AG47" s="19"/>
      <c r="AH47" s="105"/>
      <c r="AI47" s="105"/>
      <c r="AJ47" s="105"/>
      <c r="AK47" s="105"/>
      <c r="AL47" s="110"/>
      <c r="AN47" s="102"/>
      <c r="AO47" s="105"/>
      <c r="AP47" s="18" t="s">
        <v>37</v>
      </c>
      <c r="AQ47" s="105"/>
      <c r="AR47" s="54"/>
      <c r="AS47" s="105"/>
      <c r="AT47" s="105"/>
      <c r="AU47" s="105"/>
      <c r="AV47" s="105"/>
      <c r="AW47" s="110"/>
      <c r="AX47" s="18" t="s">
        <v>37</v>
      </c>
      <c r="AY47" s="105"/>
      <c r="AZ47" s="19"/>
      <c r="BA47" s="105"/>
      <c r="BB47" s="105"/>
      <c r="BC47" s="105"/>
      <c r="BD47" s="105"/>
      <c r="BE47" s="110"/>
      <c r="BG47" s="102"/>
      <c r="BH47" s="105"/>
      <c r="BI47" s="18" t="s">
        <v>37</v>
      </c>
      <c r="BJ47" s="105"/>
      <c r="BK47" s="54"/>
      <c r="BL47" s="105"/>
      <c r="BM47" s="105"/>
      <c r="BN47" s="105"/>
      <c r="BO47" s="105"/>
      <c r="BP47" s="110"/>
      <c r="BQ47" s="18" t="s">
        <v>37</v>
      </c>
      <c r="BR47" s="105"/>
      <c r="BS47" s="19"/>
      <c r="BT47" s="105"/>
      <c r="BU47" s="105"/>
      <c r="BV47" s="105"/>
      <c r="BW47" s="105"/>
      <c r="BX47" s="110"/>
      <c r="BZ47" s="102"/>
      <c r="CA47" s="105"/>
      <c r="CB47" s="18" t="s">
        <v>37</v>
      </c>
      <c r="CC47" s="105"/>
      <c r="CD47" s="54"/>
      <c r="CE47" s="105"/>
      <c r="CF47" s="105"/>
      <c r="CG47" s="105"/>
      <c r="CH47" s="105"/>
      <c r="CI47" s="110"/>
      <c r="CJ47" s="18" t="s">
        <v>37</v>
      </c>
      <c r="CK47" s="105"/>
      <c r="CL47" s="19"/>
      <c r="CM47" s="105"/>
      <c r="CN47" s="105"/>
      <c r="CO47" s="105"/>
      <c r="CP47" s="105"/>
      <c r="CQ47" s="110"/>
      <c r="CS47" s="102"/>
      <c r="CT47" s="105"/>
      <c r="CU47" s="18" t="s">
        <v>37</v>
      </c>
      <c r="CV47" s="105"/>
      <c r="CW47" s="54"/>
      <c r="CX47" s="105"/>
      <c r="CY47" s="105"/>
      <c r="CZ47" s="105"/>
      <c r="DA47" s="105"/>
      <c r="DB47" s="110"/>
      <c r="DC47" s="18" t="s">
        <v>37</v>
      </c>
      <c r="DD47" s="105"/>
      <c r="DE47" s="19"/>
      <c r="DF47" s="105"/>
      <c r="DG47" s="105"/>
      <c r="DH47" s="105"/>
      <c r="DI47" s="105"/>
      <c r="DJ47" s="110"/>
    </row>
    <row r="48" spans="1:114" ht="14.25" customHeight="1" x14ac:dyDescent="0.3">
      <c r="A48" s="102"/>
      <c r="B48" s="105"/>
      <c r="C48" s="18" t="s">
        <v>38</v>
      </c>
      <c r="D48" s="105"/>
      <c r="E48" s="54"/>
      <c r="F48" s="105"/>
      <c r="G48" s="105"/>
      <c r="H48" s="105"/>
      <c r="I48" s="105"/>
      <c r="J48" s="110"/>
      <c r="K48" s="18" t="s">
        <v>38</v>
      </c>
      <c r="L48" s="105"/>
      <c r="M48" s="19"/>
      <c r="N48" s="105"/>
      <c r="O48" s="105"/>
      <c r="P48" s="105"/>
      <c r="Q48" s="105"/>
      <c r="R48" s="110"/>
      <c r="T48" s="117"/>
      <c r="U48" s="102"/>
      <c r="V48" s="105"/>
      <c r="W48" s="18" t="s">
        <v>38</v>
      </c>
      <c r="X48" s="105"/>
      <c r="Y48" s="54"/>
      <c r="Z48" s="105"/>
      <c r="AA48" s="105"/>
      <c r="AB48" s="105"/>
      <c r="AC48" s="105"/>
      <c r="AD48" s="110"/>
      <c r="AE48" s="18" t="s">
        <v>38</v>
      </c>
      <c r="AF48" s="105"/>
      <c r="AG48" s="19"/>
      <c r="AH48" s="105"/>
      <c r="AI48" s="105"/>
      <c r="AJ48" s="105"/>
      <c r="AK48" s="105"/>
      <c r="AL48" s="110"/>
      <c r="AN48" s="102"/>
      <c r="AO48" s="105"/>
      <c r="AP48" s="18" t="s">
        <v>38</v>
      </c>
      <c r="AQ48" s="105"/>
      <c r="AR48" s="54"/>
      <c r="AS48" s="105"/>
      <c r="AT48" s="105"/>
      <c r="AU48" s="105"/>
      <c r="AV48" s="105"/>
      <c r="AW48" s="110"/>
      <c r="AX48" s="18" t="s">
        <v>38</v>
      </c>
      <c r="AY48" s="105"/>
      <c r="AZ48" s="19"/>
      <c r="BA48" s="105"/>
      <c r="BB48" s="105"/>
      <c r="BC48" s="105"/>
      <c r="BD48" s="105"/>
      <c r="BE48" s="110"/>
      <c r="BG48" s="102"/>
      <c r="BH48" s="105"/>
      <c r="BI48" s="18" t="s">
        <v>38</v>
      </c>
      <c r="BJ48" s="105"/>
      <c r="BK48" s="54"/>
      <c r="BL48" s="105"/>
      <c r="BM48" s="105"/>
      <c r="BN48" s="105"/>
      <c r="BO48" s="105"/>
      <c r="BP48" s="110"/>
      <c r="BQ48" s="18" t="s">
        <v>38</v>
      </c>
      <c r="BR48" s="105"/>
      <c r="BS48" s="19"/>
      <c r="BT48" s="105"/>
      <c r="BU48" s="105"/>
      <c r="BV48" s="105"/>
      <c r="BW48" s="105"/>
      <c r="BX48" s="110"/>
      <c r="BZ48" s="102"/>
      <c r="CA48" s="105"/>
      <c r="CB48" s="18" t="s">
        <v>38</v>
      </c>
      <c r="CC48" s="105"/>
      <c r="CD48" s="54"/>
      <c r="CE48" s="105"/>
      <c r="CF48" s="105"/>
      <c r="CG48" s="105"/>
      <c r="CH48" s="105"/>
      <c r="CI48" s="110"/>
      <c r="CJ48" s="18" t="s">
        <v>38</v>
      </c>
      <c r="CK48" s="105"/>
      <c r="CL48" s="19"/>
      <c r="CM48" s="105"/>
      <c r="CN48" s="105"/>
      <c r="CO48" s="105"/>
      <c r="CP48" s="105"/>
      <c r="CQ48" s="110"/>
      <c r="CS48" s="102"/>
      <c r="CT48" s="105"/>
      <c r="CU48" s="18" t="s">
        <v>38</v>
      </c>
      <c r="CV48" s="105"/>
      <c r="CW48" s="54"/>
      <c r="CX48" s="105"/>
      <c r="CY48" s="105"/>
      <c r="CZ48" s="105"/>
      <c r="DA48" s="105"/>
      <c r="DB48" s="110"/>
      <c r="DC48" s="18" t="s">
        <v>38</v>
      </c>
      <c r="DD48" s="105"/>
      <c r="DE48" s="19"/>
      <c r="DF48" s="105"/>
      <c r="DG48" s="105"/>
      <c r="DH48" s="105"/>
      <c r="DI48" s="105"/>
      <c r="DJ48" s="110"/>
    </row>
    <row r="49" spans="1:114" ht="14.25" customHeight="1" x14ac:dyDescent="0.3">
      <c r="A49" s="102"/>
      <c r="B49" s="105"/>
      <c r="C49" s="18" t="s">
        <v>39</v>
      </c>
      <c r="D49" s="105"/>
      <c r="E49" s="54"/>
      <c r="F49" s="105"/>
      <c r="G49" s="105"/>
      <c r="H49" s="105"/>
      <c r="I49" s="105"/>
      <c r="J49" s="110"/>
      <c r="K49" s="18" t="s">
        <v>39</v>
      </c>
      <c r="L49" s="105"/>
      <c r="M49" s="19"/>
      <c r="N49" s="105"/>
      <c r="O49" s="105"/>
      <c r="P49" s="105"/>
      <c r="Q49" s="105"/>
      <c r="R49" s="110"/>
      <c r="T49" s="117"/>
      <c r="U49" s="102"/>
      <c r="V49" s="105"/>
      <c r="W49" s="18" t="s">
        <v>39</v>
      </c>
      <c r="X49" s="105"/>
      <c r="Y49" s="54"/>
      <c r="Z49" s="105"/>
      <c r="AA49" s="105"/>
      <c r="AB49" s="105"/>
      <c r="AC49" s="105"/>
      <c r="AD49" s="110"/>
      <c r="AE49" s="18" t="s">
        <v>39</v>
      </c>
      <c r="AF49" s="105"/>
      <c r="AG49" s="19"/>
      <c r="AH49" s="105"/>
      <c r="AI49" s="105"/>
      <c r="AJ49" s="105"/>
      <c r="AK49" s="105"/>
      <c r="AL49" s="110"/>
      <c r="AN49" s="102"/>
      <c r="AO49" s="105"/>
      <c r="AP49" s="18" t="s">
        <v>39</v>
      </c>
      <c r="AQ49" s="105"/>
      <c r="AR49" s="54"/>
      <c r="AS49" s="105"/>
      <c r="AT49" s="105"/>
      <c r="AU49" s="105"/>
      <c r="AV49" s="105"/>
      <c r="AW49" s="110"/>
      <c r="AX49" s="18" t="s">
        <v>39</v>
      </c>
      <c r="AY49" s="105"/>
      <c r="AZ49" s="19"/>
      <c r="BA49" s="105"/>
      <c r="BB49" s="105"/>
      <c r="BC49" s="105"/>
      <c r="BD49" s="105"/>
      <c r="BE49" s="110"/>
      <c r="BG49" s="102"/>
      <c r="BH49" s="105"/>
      <c r="BI49" s="18" t="s">
        <v>39</v>
      </c>
      <c r="BJ49" s="105"/>
      <c r="BK49" s="54"/>
      <c r="BL49" s="105"/>
      <c r="BM49" s="105"/>
      <c r="BN49" s="105"/>
      <c r="BO49" s="105"/>
      <c r="BP49" s="110"/>
      <c r="BQ49" s="18" t="s">
        <v>39</v>
      </c>
      <c r="BR49" s="105"/>
      <c r="BS49" s="19"/>
      <c r="BT49" s="105"/>
      <c r="BU49" s="105"/>
      <c r="BV49" s="105"/>
      <c r="BW49" s="105"/>
      <c r="BX49" s="110"/>
      <c r="BZ49" s="102"/>
      <c r="CA49" s="105"/>
      <c r="CB49" s="18" t="s">
        <v>39</v>
      </c>
      <c r="CC49" s="105"/>
      <c r="CD49" s="54"/>
      <c r="CE49" s="105"/>
      <c r="CF49" s="105"/>
      <c r="CG49" s="105"/>
      <c r="CH49" s="105"/>
      <c r="CI49" s="110"/>
      <c r="CJ49" s="18" t="s">
        <v>39</v>
      </c>
      <c r="CK49" s="105"/>
      <c r="CL49" s="19"/>
      <c r="CM49" s="105"/>
      <c r="CN49" s="105"/>
      <c r="CO49" s="105"/>
      <c r="CP49" s="105"/>
      <c r="CQ49" s="110"/>
      <c r="CS49" s="102"/>
      <c r="CT49" s="105"/>
      <c r="CU49" s="18" t="s">
        <v>39</v>
      </c>
      <c r="CV49" s="105"/>
      <c r="CW49" s="54"/>
      <c r="CX49" s="105"/>
      <c r="CY49" s="105"/>
      <c r="CZ49" s="105"/>
      <c r="DA49" s="105"/>
      <c r="DB49" s="110"/>
      <c r="DC49" s="18" t="s">
        <v>39</v>
      </c>
      <c r="DD49" s="105"/>
      <c r="DE49" s="19"/>
      <c r="DF49" s="105"/>
      <c r="DG49" s="105"/>
      <c r="DH49" s="105"/>
      <c r="DI49" s="105"/>
      <c r="DJ49" s="110"/>
    </row>
    <row r="50" spans="1:114" ht="14.25" customHeight="1" x14ac:dyDescent="0.3">
      <c r="A50" s="102"/>
      <c r="B50" s="105"/>
      <c r="C50" s="18" t="s">
        <v>40</v>
      </c>
      <c r="D50" s="105"/>
      <c r="E50" s="54"/>
      <c r="F50" s="105"/>
      <c r="G50" s="105"/>
      <c r="H50" s="105"/>
      <c r="I50" s="105"/>
      <c r="J50" s="110"/>
      <c r="K50" s="18" t="s">
        <v>40</v>
      </c>
      <c r="L50" s="105"/>
      <c r="M50" s="19"/>
      <c r="N50" s="105"/>
      <c r="O50" s="105"/>
      <c r="P50" s="105"/>
      <c r="Q50" s="105"/>
      <c r="R50" s="110"/>
      <c r="T50" s="117"/>
      <c r="U50" s="102"/>
      <c r="V50" s="105"/>
      <c r="W50" s="18" t="s">
        <v>40</v>
      </c>
      <c r="X50" s="105"/>
      <c r="Y50" s="54"/>
      <c r="Z50" s="105"/>
      <c r="AA50" s="105"/>
      <c r="AB50" s="105"/>
      <c r="AC50" s="105"/>
      <c r="AD50" s="110"/>
      <c r="AE50" s="18" t="s">
        <v>40</v>
      </c>
      <c r="AF50" s="105"/>
      <c r="AG50" s="19"/>
      <c r="AH50" s="105"/>
      <c r="AI50" s="105"/>
      <c r="AJ50" s="105"/>
      <c r="AK50" s="105"/>
      <c r="AL50" s="110"/>
      <c r="AN50" s="102"/>
      <c r="AO50" s="105"/>
      <c r="AP50" s="18" t="s">
        <v>40</v>
      </c>
      <c r="AQ50" s="105"/>
      <c r="AR50" s="54"/>
      <c r="AS50" s="105"/>
      <c r="AT50" s="105"/>
      <c r="AU50" s="105"/>
      <c r="AV50" s="105"/>
      <c r="AW50" s="110"/>
      <c r="AX50" s="18" t="s">
        <v>40</v>
      </c>
      <c r="AY50" s="105"/>
      <c r="AZ50" s="19"/>
      <c r="BA50" s="105"/>
      <c r="BB50" s="105"/>
      <c r="BC50" s="105"/>
      <c r="BD50" s="105"/>
      <c r="BE50" s="110"/>
      <c r="BG50" s="102"/>
      <c r="BH50" s="105"/>
      <c r="BI50" s="18" t="s">
        <v>40</v>
      </c>
      <c r="BJ50" s="105"/>
      <c r="BK50" s="54"/>
      <c r="BL50" s="105"/>
      <c r="BM50" s="105"/>
      <c r="BN50" s="105"/>
      <c r="BO50" s="105"/>
      <c r="BP50" s="110"/>
      <c r="BQ50" s="18" t="s">
        <v>40</v>
      </c>
      <c r="BR50" s="105"/>
      <c r="BS50" s="19"/>
      <c r="BT50" s="105"/>
      <c r="BU50" s="105"/>
      <c r="BV50" s="105"/>
      <c r="BW50" s="105"/>
      <c r="BX50" s="110"/>
      <c r="BZ50" s="102"/>
      <c r="CA50" s="105"/>
      <c r="CB50" s="18" t="s">
        <v>40</v>
      </c>
      <c r="CC50" s="105"/>
      <c r="CD50" s="54"/>
      <c r="CE50" s="105"/>
      <c r="CF50" s="105"/>
      <c r="CG50" s="105"/>
      <c r="CH50" s="105"/>
      <c r="CI50" s="110"/>
      <c r="CJ50" s="18" t="s">
        <v>40</v>
      </c>
      <c r="CK50" s="105"/>
      <c r="CL50" s="19"/>
      <c r="CM50" s="105"/>
      <c r="CN50" s="105"/>
      <c r="CO50" s="105"/>
      <c r="CP50" s="105"/>
      <c r="CQ50" s="110"/>
      <c r="CS50" s="102"/>
      <c r="CT50" s="105"/>
      <c r="CU50" s="18" t="s">
        <v>40</v>
      </c>
      <c r="CV50" s="105"/>
      <c r="CW50" s="54"/>
      <c r="CX50" s="105"/>
      <c r="CY50" s="105"/>
      <c r="CZ50" s="105"/>
      <c r="DA50" s="105"/>
      <c r="DB50" s="110"/>
      <c r="DC50" s="18" t="s">
        <v>40</v>
      </c>
      <c r="DD50" s="105"/>
      <c r="DE50" s="19"/>
      <c r="DF50" s="105"/>
      <c r="DG50" s="105"/>
      <c r="DH50" s="105"/>
      <c r="DI50" s="105"/>
      <c r="DJ50" s="110"/>
    </row>
    <row r="51" spans="1:114" ht="14.25" customHeight="1" x14ac:dyDescent="0.3">
      <c r="A51" s="102"/>
      <c r="B51" s="105"/>
      <c r="C51" s="18" t="s">
        <v>41</v>
      </c>
      <c r="D51" s="105"/>
      <c r="E51" s="54"/>
      <c r="F51" s="105"/>
      <c r="G51" s="105"/>
      <c r="H51" s="105"/>
      <c r="I51" s="105"/>
      <c r="J51" s="110"/>
      <c r="K51" s="18" t="s">
        <v>41</v>
      </c>
      <c r="L51" s="105"/>
      <c r="M51" s="19"/>
      <c r="N51" s="105"/>
      <c r="O51" s="105"/>
      <c r="P51" s="105"/>
      <c r="Q51" s="105"/>
      <c r="R51" s="110"/>
      <c r="T51" s="117"/>
      <c r="U51" s="102"/>
      <c r="V51" s="105"/>
      <c r="W51" s="18" t="s">
        <v>41</v>
      </c>
      <c r="X51" s="105"/>
      <c r="Y51" s="54"/>
      <c r="Z51" s="105"/>
      <c r="AA51" s="105"/>
      <c r="AB51" s="105"/>
      <c r="AC51" s="105"/>
      <c r="AD51" s="110"/>
      <c r="AE51" s="18" t="s">
        <v>41</v>
      </c>
      <c r="AF51" s="105"/>
      <c r="AG51" s="19"/>
      <c r="AH51" s="105"/>
      <c r="AI51" s="105"/>
      <c r="AJ51" s="105"/>
      <c r="AK51" s="105"/>
      <c r="AL51" s="110"/>
      <c r="AN51" s="102"/>
      <c r="AO51" s="105"/>
      <c r="AP51" s="18" t="s">
        <v>41</v>
      </c>
      <c r="AQ51" s="105"/>
      <c r="AR51" s="54"/>
      <c r="AS51" s="105"/>
      <c r="AT51" s="105"/>
      <c r="AU51" s="105"/>
      <c r="AV51" s="105"/>
      <c r="AW51" s="110"/>
      <c r="AX51" s="18" t="s">
        <v>41</v>
      </c>
      <c r="AY51" s="105"/>
      <c r="AZ51" s="19"/>
      <c r="BA51" s="105"/>
      <c r="BB51" s="105"/>
      <c r="BC51" s="105"/>
      <c r="BD51" s="105"/>
      <c r="BE51" s="110"/>
      <c r="BG51" s="102"/>
      <c r="BH51" s="105"/>
      <c r="BI51" s="18" t="s">
        <v>41</v>
      </c>
      <c r="BJ51" s="105"/>
      <c r="BK51" s="54"/>
      <c r="BL51" s="105"/>
      <c r="BM51" s="105"/>
      <c r="BN51" s="105"/>
      <c r="BO51" s="105"/>
      <c r="BP51" s="110"/>
      <c r="BQ51" s="18" t="s">
        <v>41</v>
      </c>
      <c r="BR51" s="105"/>
      <c r="BS51" s="19"/>
      <c r="BT51" s="105"/>
      <c r="BU51" s="105"/>
      <c r="BV51" s="105"/>
      <c r="BW51" s="105"/>
      <c r="BX51" s="110"/>
      <c r="BZ51" s="102"/>
      <c r="CA51" s="105"/>
      <c r="CB51" s="18" t="s">
        <v>41</v>
      </c>
      <c r="CC51" s="105"/>
      <c r="CD51" s="54"/>
      <c r="CE51" s="105"/>
      <c r="CF51" s="105"/>
      <c r="CG51" s="105"/>
      <c r="CH51" s="105"/>
      <c r="CI51" s="110"/>
      <c r="CJ51" s="18" t="s">
        <v>41</v>
      </c>
      <c r="CK51" s="105"/>
      <c r="CL51" s="19"/>
      <c r="CM51" s="105"/>
      <c r="CN51" s="105"/>
      <c r="CO51" s="105"/>
      <c r="CP51" s="105"/>
      <c r="CQ51" s="110"/>
      <c r="CS51" s="102"/>
      <c r="CT51" s="105"/>
      <c r="CU51" s="18" t="s">
        <v>41</v>
      </c>
      <c r="CV51" s="105"/>
      <c r="CW51" s="54"/>
      <c r="CX51" s="105"/>
      <c r="CY51" s="105"/>
      <c r="CZ51" s="105"/>
      <c r="DA51" s="105"/>
      <c r="DB51" s="110"/>
      <c r="DC51" s="18" t="s">
        <v>41</v>
      </c>
      <c r="DD51" s="105"/>
      <c r="DE51" s="19"/>
      <c r="DF51" s="105"/>
      <c r="DG51" s="105"/>
      <c r="DH51" s="105"/>
      <c r="DI51" s="105"/>
      <c r="DJ51" s="110"/>
    </row>
    <row r="52" spans="1:114" ht="14.25" customHeight="1" x14ac:dyDescent="0.3">
      <c r="A52" s="102"/>
      <c r="B52" s="105"/>
      <c r="C52" s="18" t="s">
        <v>42</v>
      </c>
      <c r="D52" s="105"/>
      <c r="E52" s="54"/>
      <c r="F52" s="105"/>
      <c r="G52" s="105"/>
      <c r="H52" s="105"/>
      <c r="I52" s="105"/>
      <c r="J52" s="110"/>
      <c r="K52" s="18" t="s">
        <v>42</v>
      </c>
      <c r="L52" s="105"/>
      <c r="M52" s="19"/>
      <c r="N52" s="105"/>
      <c r="O52" s="105"/>
      <c r="P52" s="105"/>
      <c r="Q52" s="105"/>
      <c r="R52" s="110"/>
      <c r="T52" s="117"/>
      <c r="U52" s="102"/>
      <c r="V52" s="105"/>
      <c r="W52" s="18" t="s">
        <v>42</v>
      </c>
      <c r="X52" s="105"/>
      <c r="Y52" s="54"/>
      <c r="Z52" s="105"/>
      <c r="AA52" s="105"/>
      <c r="AB52" s="105"/>
      <c r="AC52" s="105"/>
      <c r="AD52" s="110"/>
      <c r="AE52" s="18" t="s">
        <v>42</v>
      </c>
      <c r="AF52" s="105"/>
      <c r="AG52" s="19"/>
      <c r="AH52" s="105"/>
      <c r="AI52" s="105"/>
      <c r="AJ52" s="105"/>
      <c r="AK52" s="105"/>
      <c r="AL52" s="110"/>
      <c r="AN52" s="102"/>
      <c r="AO52" s="105"/>
      <c r="AP52" s="18" t="s">
        <v>42</v>
      </c>
      <c r="AQ52" s="105"/>
      <c r="AR52" s="54"/>
      <c r="AS52" s="105"/>
      <c r="AT52" s="105"/>
      <c r="AU52" s="105"/>
      <c r="AV52" s="105"/>
      <c r="AW52" s="110"/>
      <c r="AX52" s="18" t="s">
        <v>42</v>
      </c>
      <c r="AY52" s="105"/>
      <c r="AZ52" s="19"/>
      <c r="BA52" s="105"/>
      <c r="BB52" s="105"/>
      <c r="BC52" s="105"/>
      <c r="BD52" s="105"/>
      <c r="BE52" s="110"/>
      <c r="BG52" s="102"/>
      <c r="BH52" s="105"/>
      <c r="BI52" s="18" t="s">
        <v>42</v>
      </c>
      <c r="BJ52" s="105"/>
      <c r="BK52" s="54"/>
      <c r="BL52" s="105"/>
      <c r="BM52" s="105"/>
      <c r="BN52" s="105"/>
      <c r="BO52" s="105"/>
      <c r="BP52" s="110"/>
      <c r="BQ52" s="18" t="s">
        <v>42</v>
      </c>
      <c r="BR52" s="105"/>
      <c r="BS52" s="19"/>
      <c r="BT52" s="105"/>
      <c r="BU52" s="105"/>
      <c r="BV52" s="105"/>
      <c r="BW52" s="105"/>
      <c r="BX52" s="110"/>
      <c r="BZ52" s="102"/>
      <c r="CA52" s="105"/>
      <c r="CB52" s="18" t="s">
        <v>42</v>
      </c>
      <c r="CC52" s="105"/>
      <c r="CD52" s="54"/>
      <c r="CE52" s="105"/>
      <c r="CF52" s="105"/>
      <c r="CG52" s="105"/>
      <c r="CH52" s="105"/>
      <c r="CI52" s="110"/>
      <c r="CJ52" s="18" t="s">
        <v>42</v>
      </c>
      <c r="CK52" s="105"/>
      <c r="CL52" s="19"/>
      <c r="CM52" s="105"/>
      <c r="CN52" s="105"/>
      <c r="CO52" s="105"/>
      <c r="CP52" s="105"/>
      <c r="CQ52" s="110"/>
      <c r="CS52" s="102"/>
      <c r="CT52" s="105"/>
      <c r="CU52" s="18" t="s">
        <v>42</v>
      </c>
      <c r="CV52" s="105"/>
      <c r="CW52" s="54"/>
      <c r="CX52" s="105"/>
      <c r="CY52" s="105"/>
      <c r="CZ52" s="105"/>
      <c r="DA52" s="105"/>
      <c r="DB52" s="110"/>
      <c r="DC52" s="18" t="s">
        <v>42</v>
      </c>
      <c r="DD52" s="105"/>
      <c r="DE52" s="19"/>
      <c r="DF52" s="105"/>
      <c r="DG52" s="105"/>
      <c r="DH52" s="105"/>
      <c r="DI52" s="105"/>
      <c r="DJ52" s="110"/>
    </row>
    <row r="53" spans="1:114" ht="14.25" customHeight="1" x14ac:dyDescent="0.3">
      <c r="A53" s="102"/>
      <c r="B53" s="105"/>
      <c r="C53" s="18" t="s">
        <v>43</v>
      </c>
      <c r="D53" s="105"/>
      <c r="E53" s="54"/>
      <c r="F53" s="105"/>
      <c r="G53" s="105"/>
      <c r="H53" s="105"/>
      <c r="I53" s="105"/>
      <c r="J53" s="110"/>
      <c r="K53" s="18" t="s">
        <v>43</v>
      </c>
      <c r="L53" s="105"/>
      <c r="M53" s="19"/>
      <c r="N53" s="105"/>
      <c r="O53" s="105"/>
      <c r="P53" s="105"/>
      <c r="Q53" s="105"/>
      <c r="R53" s="110"/>
      <c r="T53" s="117"/>
      <c r="U53" s="102"/>
      <c r="V53" s="105"/>
      <c r="W53" s="18" t="s">
        <v>43</v>
      </c>
      <c r="X53" s="105"/>
      <c r="Y53" s="54"/>
      <c r="Z53" s="105"/>
      <c r="AA53" s="105"/>
      <c r="AB53" s="105"/>
      <c r="AC53" s="105"/>
      <c r="AD53" s="110"/>
      <c r="AE53" s="18" t="s">
        <v>43</v>
      </c>
      <c r="AF53" s="105"/>
      <c r="AG53" s="19"/>
      <c r="AH53" s="105"/>
      <c r="AI53" s="105"/>
      <c r="AJ53" s="105"/>
      <c r="AK53" s="105"/>
      <c r="AL53" s="110"/>
      <c r="AN53" s="102"/>
      <c r="AO53" s="105"/>
      <c r="AP53" s="18" t="s">
        <v>43</v>
      </c>
      <c r="AQ53" s="105"/>
      <c r="AR53" s="54"/>
      <c r="AS53" s="105"/>
      <c r="AT53" s="105"/>
      <c r="AU53" s="105"/>
      <c r="AV53" s="105"/>
      <c r="AW53" s="110"/>
      <c r="AX53" s="18" t="s">
        <v>43</v>
      </c>
      <c r="AY53" s="105"/>
      <c r="AZ53" s="19"/>
      <c r="BA53" s="105"/>
      <c r="BB53" s="105"/>
      <c r="BC53" s="105"/>
      <c r="BD53" s="105"/>
      <c r="BE53" s="110"/>
      <c r="BG53" s="102"/>
      <c r="BH53" s="105"/>
      <c r="BI53" s="18" t="s">
        <v>43</v>
      </c>
      <c r="BJ53" s="105"/>
      <c r="BK53" s="54"/>
      <c r="BL53" s="105"/>
      <c r="BM53" s="105"/>
      <c r="BN53" s="105"/>
      <c r="BO53" s="105"/>
      <c r="BP53" s="110"/>
      <c r="BQ53" s="18" t="s">
        <v>43</v>
      </c>
      <c r="BR53" s="105"/>
      <c r="BS53" s="19"/>
      <c r="BT53" s="105"/>
      <c r="BU53" s="105"/>
      <c r="BV53" s="105"/>
      <c r="BW53" s="105"/>
      <c r="BX53" s="110"/>
      <c r="BZ53" s="102"/>
      <c r="CA53" s="105"/>
      <c r="CB53" s="18" t="s">
        <v>43</v>
      </c>
      <c r="CC53" s="105"/>
      <c r="CD53" s="54"/>
      <c r="CE53" s="105"/>
      <c r="CF53" s="105"/>
      <c r="CG53" s="105"/>
      <c r="CH53" s="105"/>
      <c r="CI53" s="110"/>
      <c r="CJ53" s="18" t="s">
        <v>43</v>
      </c>
      <c r="CK53" s="105"/>
      <c r="CL53" s="19"/>
      <c r="CM53" s="105"/>
      <c r="CN53" s="105"/>
      <c r="CO53" s="105"/>
      <c r="CP53" s="105"/>
      <c r="CQ53" s="110"/>
      <c r="CS53" s="102"/>
      <c r="CT53" s="105"/>
      <c r="CU53" s="18" t="s">
        <v>43</v>
      </c>
      <c r="CV53" s="105"/>
      <c r="CW53" s="54"/>
      <c r="CX53" s="105"/>
      <c r="CY53" s="105"/>
      <c r="CZ53" s="105"/>
      <c r="DA53" s="105"/>
      <c r="DB53" s="110"/>
      <c r="DC53" s="18" t="s">
        <v>43</v>
      </c>
      <c r="DD53" s="105"/>
      <c r="DE53" s="19"/>
      <c r="DF53" s="105"/>
      <c r="DG53" s="105"/>
      <c r="DH53" s="105"/>
      <c r="DI53" s="105"/>
      <c r="DJ53" s="110"/>
    </row>
    <row r="54" spans="1:114" ht="14.25" customHeight="1" x14ac:dyDescent="0.3">
      <c r="A54" s="102"/>
      <c r="B54" s="105"/>
      <c r="C54" s="18" t="s">
        <v>44</v>
      </c>
      <c r="D54" s="105"/>
      <c r="E54" s="54"/>
      <c r="F54" s="105"/>
      <c r="G54" s="105"/>
      <c r="H54" s="105"/>
      <c r="I54" s="105"/>
      <c r="J54" s="110"/>
      <c r="K54" s="18" t="s">
        <v>44</v>
      </c>
      <c r="L54" s="105"/>
      <c r="M54" s="19"/>
      <c r="N54" s="105"/>
      <c r="O54" s="105"/>
      <c r="P54" s="105"/>
      <c r="Q54" s="105"/>
      <c r="R54" s="110"/>
      <c r="T54" s="117"/>
      <c r="U54" s="102"/>
      <c r="V54" s="105"/>
      <c r="W54" s="18" t="s">
        <v>44</v>
      </c>
      <c r="X54" s="105"/>
      <c r="Y54" s="54"/>
      <c r="Z54" s="105"/>
      <c r="AA54" s="105"/>
      <c r="AB54" s="105"/>
      <c r="AC54" s="105"/>
      <c r="AD54" s="110"/>
      <c r="AE54" s="18" t="s">
        <v>44</v>
      </c>
      <c r="AF54" s="105"/>
      <c r="AG54" s="19"/>
      <c r="AH54" s="105"/>
      <c r="AI54" s="105"/>
      <c r="AJ54" s="105"/>
      <c r="AK54" s="105"/>
      <c r="AL54" s="110"/>
      <c r="AN54" s="102"/>
      <c r="AO54" s="105"/>
      <c r="AP54" s="18" t="s">
        <v>44</v>
      </c>
      <c r="AQ54" s="105"/>
      <c r="AR54" s="54"/>
      <c r="AS54" s="105"/>
      <c r="AT54" s="105"/>
      <c r="AU54" s="105"/>
      <c r="AV54" s="105"/>
      <c r="AW54" s="110"/>
      <c r="AX54" s="18" t="s">
        <v>44</v>
      </c>
      <c r="AY54" s="105"/>
      <c r="AZ54" s="19"/>
      <c r="BA54" s="105"/>
      <c r="BB54" s="105"/>
      <c r="BC54" s="105"/>
      <c r="BD54" s="105"/>
      <c r="BE54" s="110"/>
      <c r="BG54" s="102"/>
      <c r="BH54" s="105"/>
      <c r="BI54" s="18" t="s">
        <v>44</v>
      </c>
      <c r="BJ54" s="105"/>
      <c r="BK54" s="54"/>
      <c r="BL54" s="105"/>
      <c r="BM54" s="105"/>
      <c r="BN54" s="105"/>
      <c r="BO54" s="105"/>
      <c r="BP54" s="110"/>
      <c r="BQ54" s="18" t="s">
        <v>44</v>
      </c>
      <c r="BR54" s="105"/>
      <c r="BS54" s="19"/>
      <c r="BT54" s="105"/>
      <c r="BU54" s="105"/>
      <c r="BV54" s="105"/>
      <c r="BW54" s="105"/>
      <c r="BX54" s="110"/>
      <c r="BZ54" s="102"/>
      <c r="CA54" s="105"/>
      <c r="CB54" s="18" t="s">
        <v>44</v>
      </c>
      <c r="CC54" s="105"/>
      <c r="CD54" s="54"/>
      <c r="CE54" s="105"/>
      <c r="CF54" s="105"/>
      <c r="CG54" s="105"/>
      <c r="CH54" s="105"/>
      <c r="CI54" s="110"/>
      <c r="CJ54" s="18" t="s">
        <v>44</v>
      </c>
      <c r="CK54" s="105"/>
      <c r="CL54" s="19"/>
      <c r="CM54" s="105"/>
      <c r="CN54" s="105"/>
      <c r="CO54" s="105"/>
      <c r="CP54" s="105"/>
      <c r="CQ54" s="110"/>
      <c r="CS54" s="102"/>
      <c r="CT54" s="105"/>
      <c r="CU54" s="18" t="s">
        <v>44</v>
      </c>
      <c r="CV54" s="105"/>
      <c r="CW54" s="54"/>
      <c r="CX54" s="105"/>
      <c r="CY54" s="105"/>
      <c r="CZ54" s="105"/>
      <c r="DA54" s="105"/>
      <c r="DB54" s="110"/>
      <c r="DC54" s="18" t="s">
        <v>44</v>
      </c>
      <c r="DD54" s="105"/>
      <c r="DE54" s="19"/>
      <c r="DF54" s="105"/>
      <c r="DG54" s="105"/>
      <c r="DH54" s="105"/>
      <c r="DI54" s="105"/>
      <c r="DJ54" s="110"/>
    </row>
    <row r="55" spans="1:114" ht="14.25" customHeight="1" x14ac:dyDescent="0.3">
      <c r="A55" s="102"/>
      <c r="B55" s="105"/>
      <c r="C55" s="18" t="s">
        <v>45</v>
      </c>
      <c r="D55" s="105"/>
      <c r="E55" s="54"/>
      <c r="F55" s="105"/>
      <c r="G55" s="105"/>
      <c r="H55" s="105"/>
      <c r="I55" s="105"/>
      <c r="J55" s="110"/>
      <c r="K55" s="18" t="s">
        <v>45</v>
      </c>
      <c r="L55" s="105"/>
      <c r="M55" s="19"/>
      <c r="N55" s="105"/>
      <c r="O55" s="105"/>
      <c r="P55" s="105"/>
      <c r="Q55" s="105"/>
      <c r="R55" s="110"/>
      <c r="T55" s="117"/>
      <c r="U55" s="102"/>
      <c r="V55" s="105"/>
      <c r="W55" s="18" t="s">
        <v>45</v>
      </c>
      <c r="X55" s="105"/>
      <c r="Y55" s="54"/>
      <c r="Z55" s="105"/>
      <c r="AA55" s="105"/>
      <c r="AB55" s="105"/>
      <c r="AC55" s="105"/>
      <c r="AD55" s="110"/>
      <c r="AE55" s="18" t="s">
        <v>45</v>
      </c>
      <c r="AF55" s="105"/>
      <c r="AG55" s="19"/>
      <c r="AH55" s="105"/>
      <c r="AI55" s="105"/>
      <c r="AJ55" s="105"/>
      <c r="AK55" s="105"/>
      <c r="AL55" s="110"/>
      <c r="AN55" s="102"/>
      <c r="AO55" s="105"/>
      <c r="AP55" s="18" t="s">
        <v>45</v>
      </c>
      <c r="AQ55" s="105"/>
      <c r="AR55" s="54"/>
      <c r="AS55" s="105"/>
      <c r="AT55" s="105"/>
      <c r="AU55" s="105"/>
      <c r="AV55" s="105"/>
      <c r="AW55" s="110"/>
      <c r="AX55" s="18" t="s">
        <v>45</v>
      </c>
      <c r="AY55" s="105"/>
      <c r="AZ55" s="19"/>
      <c r="BA55" s="105"/>
      <c r="BB55" s="105"/>
      <c r="BC55" s="105"/>
      <c r="BD55" s="105"/>
      <c r="BE55" s="110"/>
      <c r="BG55" s="102"/>
      <c r="BH55" s="105"/>
      <c r="BI55" s="18" t="s">
        <v>45</v>
      </c>
      <c r="BJ55" s="105"/>
      <c r="BK55" s="54"/>
      <c r="BL55" s="105"/>
      <c r="BM55" s="105"/>
      <c r="BN55" s="105"/>
      <c r="BO55" s="105"/>
      <c r="BP55" s="110"/>
      <c r="BQ55" s="18" t="s">
        <v>45</v>
      </c>
      <c r="BR55" s="105"/>
      <c r="BS55" s="19"/>
      <c r="BT55" s="105"/>
      <c r="BU55" s="105"/>
      <c r="BV55" s="105"/>
      <c r="BW55" s="105"/>
      <c r="BX55" s="110"/>
      <c r="BZ55" s="102"/>
      <c r="CA55" s="105"/>
      <c r="CB55" s="18" t="s">
        <v>45</v>
      </c>
      <c r="CC55" s="105"/>
      <c r="CD55" s="54"/>
      <c r="CE55" s="105"/>
      <c r="CF55" s="105"/>
      <c r="CG55" s="105"/>
      <c r="CH55" s="105"/>
      <c r="CI55" s="110"/>
      <c r="CJ55" s="18" t="s">
        <v>45</v>
      </c>
      <c r="CK55" s="105"/>
      <c r="CL55" s="19"/>
      <c r="CM55" s="105"/>
      <c r="CN55" s="105"/>
      <c r="CO55" s="105"/>
      <c r="CP55" s="105"/>
      <c r="CQ55" s="110"/>
      <c r="CS55" s="102"/>
      <c r="CT55" s="105"/>
      <c r="CU55" s="18" t="s">
        <v>45</v>
      </c>
      <c r="CV55" s="105"/>
      <c r="CW55" s="54"/>
      <c r="CX55" s="105"/>
      <c r="CY55" s="105"/>
      <c r="CZ55" s="105"/>
      <c r="DA55" s="105"/>
      <c r="DB55" s="110"/>
      <c r="DC55" s="18" t="s">
        <v>45</v>
      </c>
      <c r="DD55" s="105"/>
      <c r="DE55" s="19"/>
      <c r="DF55" s="105"/>
      <c r="DG55" s="105"/>
      <c r="DH55" s="105"/>
      <c r="DI55" s="105"/>
      <c r="DJ55" s="110"/>
    </row>
    <row r="56" spans="1:114" ht="14.25" customHeight="1" x14ac:dyDescent="0.3">
      <c r="A56" s="102"/>
      <c r="B56" s="105"/>
      <c r="C56" s="18" t="s">
        <v>46</v>
      </c>
      <c r="D56" s="105"/>
      <c r="E56" s="54"/>
      <c r="F56" s="105"/>
      <c r="G56" s="105"/>
      <c r="H56" s="105"/>
      <c r="I56" s="105"/>
      <c r="J56" s="110"/>
      <c r="K56" s="18" t="s">
        <v>46</v>
      </c>
      <c r="L56" s="105"/>
      <c r="M56" s="19"/>
      <c r="N56" s="105"/>
      <c r="O56" s="105"/>
      <c r="P56" s="105"/>
      <c r="Q56" s="105"/>
      <c r="R56" s="110"/>
      <c r="T56" s="117"/>
      <c r="U56" s="102"/>
      <c r="V56" s="105"/>
      <c r="W56" s="18" t="s">
        <v>46</v>
      </c>
      <c r="X56" s="105"/>
      <c r="Y56" s="54"/>
      <c r="Z56" s="105"/>
      <c r="AA56" s="105"/>
      <c r="AB56" s="105"/>
      <c r="AC56" s="105"/>
      <c r="AD56" s="110"/>
      <c r="AE56" s="18" t="s">
        <v>46</v>
      </c>
      <c r="AF56" s="105"/>
      <c r="AG56" s="19"/>
      <c r="AH56" s="105"/>
      <c r="AI56" s="105"/>
      <c r="AJ56" s="105"/>
      <c r="AK56" s="105"/>
      <c r="AL56" s="110"/>
      <c r="AN56" s="102"/>
      <c r="AO56" s="105"/>
      <c r="AP56" s="18" t="s">
        <v>46</v>
      </c>
      <c r="AQ56" s="105"/>
      <c r="AR56" s="54"/>
      <c r="AS56" s="105"/>
      <c r="AT56" s="105"/>
      <c r="AU56" s="105"/>
      <c r="AV56" s="105"/>
      <c r="AW56" s="110"/>
      <c r="AX56" s="18" t="s">
        <v>46</v>
      </c>
      <c r="AY56" s="105"/>
      <c r="AZ56" s="19"/>
      <c r="BA56" s="105"/>
      <c r="BB56" s="105"/>
      <c r="BC56" s="105"/>
      <c r="BD56" s="105"/>
      <c r="BE56" s="110"/>
      <c r="BG56" s="102"/>
      <c r="BH56" s="105"/>
      <c r="BI56" s="18" t="s">
        <v>46</v>
      </c>
      <c r="BJ56" s="105"/>
      <c r="BK56" s="54"/>
      <c r="BL56" s="105"/>
      <c r="BM56" s="105"/>
      <c r="BN56" s="105"/>
      <c r="BO56" s="105"/>
      <c r="BP56" s="110"/>
      <c r="BQ56" s="18" t="s">
        <v>46</v>
      </c>
      <c r="BR56" s="105"/>
      <c r="BS56" s="19"/>
      <c r="BT56" s="105"/>
      <c r="BU56" s="105"/>
      <c r="BV56" s="105"/>
      <c r="BW56" s="105"/>
      <c r="BX56" s="110"/>
      <c r="BZ56" s="102"/>
      <c r="CA56" s="105"/>
      <c r="CB56" s="18" t="s">
        <v>46</v>
      </c>
      <c r="CC56" s="105"/>
      <c r="CD56" s="54"/>
      <c r="CE56" s="105"/>
      <c r="CF56" s="105"/>
      <c r="CG56" s="105"/>
      <c r="CH56" s="105"/>
      <c r="CI56" s="110"/>
      <c r="CJ56" s="18" t="s">
        <v>46</v>
      </c>
      <c r="CK56" s="105"/>
      <c r="CL56" s="19"/>
      <c r="CM56" s="105"/>
      <c r="CN56" s="105"/>
      <c r="CO56" s="105"/>
      <c r="CP56" s="105"/>
      <c r="CQ56" s="110"/>
      <c r="CS56" s="102"/>
      <c r="CT56" s="105"/>
      <c r="CU56" s="18" t="s">
        <v>46</v>
      </c>
      <c r="CV56" s="105"/>
      <c r="CW56" s="54"/>
      <c r="CX56" s="105"/>
      <c r="CY56" s="105"/>
      <c r="CZ56" s="105"/>
      <c r="DA56" s="105"/>
      <c r="DB56" s="110"/>
      <c r="DC56" s="18" t="s">
        <v>46</v>
      </c>
      <c r="DD56" s="105"/>
      <c r="DE56" s="19"/>
      <c r="DF56" s="105"/>
      <c r="DG56" s="105"/>
      <c r="DH56" s="105"/>
      <c r="DI56" s="105"/>
      <c r="DJ56" s="110"/>
    </row>
    <row r="57" spans="1:114" ht="14.25" customHeight="1" x14ac:dyDescent="0.3">
      <c r="A57" s="102"/>
      <c r="B57" s="105"/>
      <c r="C57" s="18" t="s">
        <v>47</v>
      </c>
      <c r="D57" s="105"/>
      <c r="E57" s="54"/>
      <c r="F57" s="105"/>
      <c r="G57" s="105"/>
      <c r="H57" s="105"/>
      <c r="I57" s="105"/>
      <c r="J57" s="110"/>
      <c r="K57" s="18" t="s">
        <v>47</v>
      </c>
      <c r="L57" s="105"/>
      <c r="M57" s="19"/>
      <c r="N57" s="105"/>
      <c r="O57" s="105"/>
      <c r="P57" s="105"/>
      <c r="Q57" s="105"/>
      <c r="R57" s="110"/>
      <c r="T57" s="117"/>
      <c r="U57" s="102"/>
      <c r="V57" s="105"/>
      <c r="W57" s="18" t="s">
        <v>47</v>
      </c>
      <c r="X57" s="105"/>
      <c r="Y57" s="54"/>
      <c r="Z57" s="105"/>
      <c r="AA57" s="105"/>
      <c r="AB57" s="105"/>
      <c r="AC57" s="105"/>
      <c r="AD57" s="110"/>
      <c r="AE57" s="18" t="s">
        <v>47</v>
      </c>
      <c r="AF57" s="105"/>
      <c r="AG57" s="19"/>
      <c r="AH57" s="105"/>
      <c r="AI57" s="105"/>
      <c r="AJ57" s="105"/>
      <c r="AK57" s="105"/>
      <c r="AL57" s="110"/>
      <c r="AN57" s="102"/>
      <c r="AO57" s="105"/>
      <c r="AP57" s="18" t="s">
        <v>47</v>
      </c>
      <c r="AQ57" s="105"/>
      <c r="AR57" s="54"/>
      <c r="AS57" s="105"/>
      <c r="AT57" s="105"/>
      <c r="AU57" s="105"/>
      <c r="AV57" s="105"/>
      <c r="AW57" s="110"/>
      <c r="AX57" s="18" t="s">
        <v>47</v>
      </c>
      <c r="AY57" s="105"/>
      <c r="AZ57" s="19"/>
      <c r="BA57" s="105"/>
      <c r="BB57" s="105"/>
      <c r="BC57" s="105"/>
      <c r="BD57" s="105"/>
      <c r="BE57" s="110"/>
      <c r="BG57" s="102"/>
      <c r="BH57" s="105"/>
      <c r="BI57" s="18" t="s">
        <v>47</v>
      </c>
      <c r="BJ57" s="105"/>
      <c r="BK57" s="54"/>
      <c r="BL57" s="105"/>
      <c r="BM57" s="105"/>
      <c r="BN57" s="105"/>
      <c r="BO57" s="105"/>
      <c r="BP57" s="110"/>
      <c r="BQ57" s="18" t="s">
        <v>47</v>
      </c>
      <c r="BR57" s="105"/>
      <c r="BS57" s="19"/>
      <c r="BT57" s="105"/>
      <c r="BU57" s="105"/>
      <c r="BV57" s="105"/>
      <c r="BW57" s="105"/>
      <c r="BX57" s="110"/>
      <c r="BZ57" s="102"/>
      <c r="CA57" s="105"/>
      <c r="CB57" s="18" t="s">
        <v>47</v>
      </c>
      <c r="CC57" s="105"/>
      <c r="CD57" s="54"/>
      <c r="CE57" s="105"/>
      <c r="CF57" s="105"/>
      <c r="CG57" s="105"/>
      <c r="CH57" s="105"/>
      <c r="CI57" s="110"/>
      <c r="CJ57" s="18" t="s">
        <v>47</v>
      </c>
      <c r="CK57" s="105"/>
      <c r="CL57" s="19"/>
      <c r="CM57" s="105"/>
      <c r="CN57" s="105"/>
      <c r="CO57" s="105"/>
      <c r="CP57" s="105"/>
      <c r="CQ57" s="110"/>
      <c r="CS57" s="102"/>
      <c r="CT57" s="105"/>
      <c r="CU57" s="18" t="s">
        <v>47</v>
      </c>
      <c r="CV57" s="105"/>
      <c r="CW57" s="54"/>
      <c r="CX57" s="105"/>
      <c r="CY57" s="105"/>
      <c r="CZ57" s="105"/>
      <c r="DA57" s="105"/>
      <c r="DB57" s="110"/>
      <c r="DC57" s="18" t="s">
        <v>47</v>
      </c>
      <c r="DD57" s="105"/>
      <c r="DE57" s="19"/>
      <c r="DF57" s="105"/>
      <c r="DG57" s="105"/>
      <c r="DH57" s="105"/>
      <c r="DI57" s="105"/>
      <c r="DJ57" s="110"/>
    </row>
    <row r="58" spans="1:114" ht="14.25" customHeight="1" x14ac:dyDescent="0.3">
      <c r="A58" s="103"/>
      <c r="B58" s="106"/>
      <c r="C58" s="21" t="s">
        <v>48</v>
      </c>
      <c r="D58" s="106"/>
      <c r="E58" s="63"/>
      <c r="F58" s="106"/>
      <c r="G58" s="106"/>
      <c r="H58" s="106"/>
      <c r="I58" s="106"/>
      <c r="J58" s="111"/>
      <c r="K58" s="21" t="s">
        <v>48</v>
      </c>
      <c r="L58" s="106"/>
      <c r="M58" s="22"/>
      <c r="N58" s="106"/>
      <c r="O58" s="106"/>
      <c r="P58" s="106"/>
      <c r="Q58" s="106"/>
      <c r="R58" s="111"/>
      <c r="T58" s="117"/>
      <c r="U58" s="103"/>
      <c r="V58" s="106"/>
      <c r="W58" s="21" t="s">
        <v>48</v>
      </c>
      <c r="X58" s="106"/>
      <c r="Y58" s="63"/>
      <c r="Z58" s="106"/>
      <c r="AA58" s="106"/>
      <c r="AB58" s="106"/>
      <c r="AC58" s="106"/>
      <c r="AD58" s="111"/>
      <c r="AE58" s="21" t="s">
        <v>48</v>
      </c>
      <c r="AF58" s="106"/>
      <c r="AG58" s="22"/>
      <c r="AH58" s="106"/>
      <c r="AI58" s="106"/>
      <c r="AJ58" s="106"/>
      <c r="AK58" s="106"/>
      <c r="AL58" s="111"/>
      <c r="AN58" s="103"/>
      <c r="AO58" s="106"/>
      <c r="AP58" s="21" t="s">
        <v>48</v>
      </c>
      <c r="AQ58" s="106"/>
      <c r="AR58" s="63"/>
      <c r="AS58" s="106"/>
      <c r="AT58" s="106"/>
      <c r="AU58" s="106"/>
      <c r="AV58" s="106"/>
      <c r="AW58" s="111"/>
      <c r="AX58" s="21" t="s">
        <v>48</v>
      </c>
      <c r="AY58" s="106"/>
      <c r="AZ58" s="22"/>
      <c r="BA58" s="106"/>
      <c r="BB58" s="106"/>
      <c r="BC58" s="106"/>
      <c r="BD58" s="106"/>
      <c r="BE58" s="111"/>
      <c r="BG58" s="103"/>
      <c r="BH58" s="106"/>
      <c r="BI58" s="21" t="s">
        <v>48</v>
      </c>
      <c r="BJ58" s="106"/>
      <c r="BK58" s="63"/>
      <c r="BL58" s="106"/>
      <c r="BM58" s="106"/>
      <c r="BN58" s="106"/>
      <c r="BO58" s="106"/>
      <c r="BP58" s="111"/>
      <c r="BQ58" s="21" t="s">
        <v>48</v>
      </c>
      <c r="BR58" s="106"/>
      <c r="BS58" s="22"/>
      <c r="BT58" s="106"/>
      <c r="BU58" s="106"/>
      <c r="BV58" s="106"/>
      <c r="BW58" s="106"/>
      <c r="BX58" s="111"/>
      <c r="BZ58" s="103"/>
      <c r="CA58" s="106"/>
      <c r="CB58" s="21" t="s">
        <v>48</v>
      </c>
      <c r="CC58" s="106"/>
      <c r="CD58" s="63"/>
      <c r="CE58" s="106"/>
      <c r="CF58" s="106"/>
      <c r="CG58" s="106"/>
      <c r="CH58" s="106"/>
      <c r="CI58" s="111"/>
      <c r="CJ58" s="21" t="s">
        <v>48</v>
      </c>
      <c r="CK58" s="106"/>
      <c r="CL58" s="22"/>
      <c r="CM58" s="106"/>
      <c r="CN58" s="106"/>
      <c r="CO58" s="106"/>
      <c r="CP58" s="106"/>
      <c r="CQ58" s="111"/>
      <c r="CS58" s="103"/>
      <c r="CT58" s="106"/>
      <c r="CU58" s="21" t="s">
        <v>48</v>
      </c>
      <c r="CV58" s="106"/>
      <c r="CW58" s="63"/>
      <c r="CX58" s="106"/>
      <c r="CY58" s="106"/>
      <c r="CZ58" s="106"/>
      <c r="DA58" s="106"/>
      <c r="DB58" s="111"/>
      <c r="DC58" s="21" t="s">
        <v>48</v>
      </c>
      <c r="DD58" s="106"/>
      <c r="DE58" s="22"/>
      <c r="DF58" s="106"/>
      <c r="DG58" s="106"/>
      <c r="DH58" s="106"/>
      <c r="DI58" s="106"/>
      <c r="DJ58" s="111"/>
    </row>
    <row r="59" spans="1:114" ht="14.25" customHeight="1" x14ac:dyDescent="0.3">
      <c r="A59" s="116"/>
      <c r="B59" s="116"/>
      <c r="G59" s="116"/>
      <c r="H59" s="116"/>
      <c r="I59" s="116"/>
      <c r="J59" s="116"/>
      <c r="M59" s="116"/>
      <c r="N59" s="65"/>
      <c r="O59" s="116"/>
      <c r="P59" s="116"/>
      <c r="Q59" s="140"/>
      <c r="R59" s="116"/>
    </row>
    <row r="60" spans="1:114" ht="14.25" customHeight="1" x14ac:dyDescent="0.3">
      <c r="A60" s="117"/>
      <c r="B60" s="117"/>
      <c r="G60" s="117"/>
      <c r="H60" s="117"/>
      <c r="I60" s="117"/>
      <c r="J60" s="117"/>
      <c r="M60" s="117"/>
      <c r="N60" s="65"/>
      <c r="O60" s="117"/>
      <c r="P60" s="117"/>
      <c r="Q60" s="117"/>
      <c r="R60" s="117"/>
    </row>
    <row r="61" spans="1:114" ht="14.25" customHeight="1" x14ac:dyDescent="0.3">
      <c r="A61" s="117"/>
      <c r="B61" s="117"/>
      <c r="G61" s="117"/>
      <c r="H61" s="117"/>
      <c r="I61" s="117"/>
      <c r="J61" s="117"/>
      <c r="M61" s="117"/>
      <c r="N61" s="65"/>
      <c r="O61" s="117"/>
      <c r="P61" s="117"/>
      <c r="Q61" s="117"/>
      <c r="R61" s="117"/>
    </row>
    <row r="62" spans="1:114" ht="14.25" customHeight="1" x14ac:dyDescent="0.3">
      <c r="A62" s="117"/>
      <c r="B62" s="117"/>
      <c r="G62" s="117"/>
      <c r="H62" s="117"/>
      <c r="I62" s="117"/>
      <c r="J62" s="117"/>
      <c r="M62" s="117"/>
      <c r="N62" s="65"/>
      <c r="O62" s="117"/>
      <c r="P62" s="117"/>
      <c r="Q62" s="117"/>
      <c r="R62" s="117"/>
    </row>
    <row r="63" spans="1:114" ht="14.25" customHeight="1" x14ac:dyDescent="0.3">
      <c r="A63" s="117"/>
      <c r="B63" s="117"/>
      <c r="G63" s="117"/>
      <c r="H63" s="117"/>
      <c r="I63" s="117"/>
      <c r="J63" s="117"/>
      <c r="M63" s="117"/>
      <c r="N63" s="65"/>
      <c r="O63" s="117"/>
      <c r="P63" s="117"/>
      <c r="Q63" s="117"/>
      <c r="R63" s="117"/>
    </row>
    <row r="64" spans="1:114" ht="14.25" customHeight="1" x14ac:dyDescent="0.3">
      <c r="A64" s="117"/>
      <c r="B64" s="117"/>
      <c r="G64" s="117"/>
      <c r="H64" s="117"/>
      <c r="I64" s="117"/>
      <c r="J64" s="117"/>
      <c r="M64" s="117"/>
      <c r="N64" s="65"/>
      <c r="O64" s="117"/>
      <c r="P64" s="117"/>
      <c r="Q64" s="117"/>
      <c r="R64" s="117"/>
    </row>
    <row r="65" spans="1:18" ht="14.25" customHeight="1" x14ac:dyDescent="0.3">
      <c r="A65" s="117"/>
      <c r="B65" s="117"/>
      <c r="G65" s="117"/>
      <c r="H65" s="117"/>
      <c r="I65" s="117"/>
      <c r="J65" s="117"/>
      <c r="M65" s="117"/>
      <c r="N65" s="65"/>
      <c r="O65" s="117"/>
      <c r="P65" s="117"/>
      <c r="Q65" s="117"/>
      <c r="R65" s="117"/>
    </row>
    <row r="66" spans="1:18" ht="14.25" customHeight="1" x14ac:dyDescent="0.3">
      <c r="A66" s="117"/>
      <c r="B66" s="117"/>
      <c r="G66" s="117"/>
      <c r="H66" s="117"/>
      <c r="I66" s="117"/>
      <c r="J66" s="117"/>
      <c r="M66" s="117"/>
      <c r="N66" s="65"/>
      <c r="O66" s="117"/>
      <c r="P66" s="117"/>
      <c r="Q66" s="117"/>
      <c r="R66" s="117"/>
    </row>
    <row r="67" spans="1:18" ht="14.25" customHeight="1" x14ac:dyDescent="0.3">
      <c r="A67" s="117"/>
      <c r="B67" s="117"/>
      <c r="G67" s="117"/>
      <c r="H67" s="117"/>
      <c r="I67" s="117"/>
      <c r="J67" s="117"/>
      <c r="M67" s="117"/>
      <c r="N67" s="65"/>
      <c r="O67" s="117"/>
      <c r="P67" s="117"/>
      <c r="Q67" s="117"/>
      <c r="R67" s="117"/>
    </row>
    <row r="68" spans="1:18" ht="14.25" customHeight="1" x14ac:dyDescent="0.3">
      <c r="A68" s="117"/>
      <c r="B68" s="117"/>
      <c r="G68" s="117"/>
      <c r="H68" s="117"/>
      <c r="I68" s="117"/>
      <c r="J68" s="117"/>
      <c r="M68" s="117"/>
      <c r="N68" s="65"/>
      <c r="O68" s="117"/>
      <c r="P68" s="117"/>
      <c r="Q68" s="117"/>
      <c r="R68" s="117"/>
    </row>
    <row r="69" spans="1:18" ht="14.25" customHeight="1" x14ac:dyDescent="0.3">
      <c r="A69" s="117"/>
      <c r="B69" s="117"/>
      <c r="G69" s="117"/>
      <c r="H69" s="117"/>
      <c r="I69" s="117"/>
      <c r="J69" s="117"/>
      <c r="M69" s="117"/>
      <c r="N69" s="65"/>
      <c r="O69" s="117"/>
      <c r="P69" s="117"/>
      <c r="Q69" s="117"/>
      <c r="R69" s="117"/>
    </row>
    <row r="70" spans="1:18" ht="14.25" customHeight="1" x14ac:dyDescent="0.3">
      <c r="A70" s="117"/>
      <c r="B70" s="117"/>
      <c r="G70" s="117"/>
      <c r="H70" s="117"/>
      <c r="I70" s="117"/>
      <c r="J70" s="117"/>
      <c r="M70" s="117"/>
      <c r="N70" s="65"/>
      <c r="O70" s="117"/>
      <c r="P70" s="117"/>
      <c r="Q70" s="117"/>
      <c r="R70" s="117"/>
    </row>
    <row r="71" spans="1:18" ht="14.25" customHeight="1" x14ac:dyDescent="0.3">
      <c r="A71" s="117"/>
      <c r="B71" s="117"/>
      <c r="G71" s="117"/>
      <c r="H71" s="117"/>
      <c r="I71" s="117"/>
      <c r="J71" s="117"/>
      <c r="M71" s="117"/>
      <c r="N71" s="65"/>
      <c r="O71" s="117"/>
      <c r="P71" s="117"/>
      <c r="Q71" s="117"/>
      <c r="R71" s="117"/>
    </row>
    <row r="72" spans="1:18" ht="14.25" customHeight="1" x14ac:dyDescent="0.3">
      <c r="A72" s="116"/>
      <c r="B72" s="116"/>
      <c r="G72" s="116"/>
      <c r="H72" s="116"/>
      <c r="I72" s="116"/>
      <c r="J72" s="116"/>
      <c r="M72" s="116"/>
      <c r="N72" s="65"/>
      <c r="O72" s="116"/>
      <c r="P72" s="116"/>
      <c r="Q72" s="140"/>
      <c r="R72" s="116"/>
    </row>
    <row r="73" spans="1:18" ht="14.25" customHeight="1" x14ac:dyDescent="0.3">
      <c r="A73" s="117"/>
      <c r="B73" s="117"/>
      <c r="G73" s="117"/>
      <c r="H73" s="117"/>
      <c r="I73" s="117"/>
      <c r="J73" s="117"/>
      <c r="M73" s="117"/>
      <c r="N73" s="65"/>
      <c r="O73" s="117"/>
      <c r="P73" s="117"/>
      <c r="Q73" s="117"/>
      <c r="R73" s="117"/>
    </row>
    <row r="74" spans="1:18" ht="14.25" customHeight="1" x14ac:dyDescent="0.3">
      <c r="A74" s="117"/>
      <c r="B74" s="117"/>
      <c r="G74" s="117"/>
      <c r="H74" s="117"/>
      <c r="I74" s="117"/>
      <c r="J74" s="117"/>
      <c r="M74" s="117"/>
      <c r="N74" s="65"/>
      <c r="O74" s="117"/>
      <c r="P74" s="117"/>
      <c r="Q74" s="117"/>
      <c r="R74" s="117"/>
    </row>
    <row r="75" spans="1:18" ht="14.25" customHeight="1" x14ac:dyDescent="0.3">
      <c r="A75" s="117"/>
      <c r="B75" s="117"/>
      <c r="G75" s="117"/>
      <c r="H75" s="117"/>
      <c r="I75" s="117"/>
      <c r="J75" s="117"/>
      <c r="M75" s="117"/>
      <c r="N75" s="65"/>
      <c r="O75" s="117"/>
      <c r="P75" s="117"/>
      <c r="Q75" s="117"/>
      <c r="R75" s="117"/>
    </row>
    <row r="76" spans="1:18" ht="14.25" customHeight="1" x14ac:dyDescent="0.3">
      <c r="A76" s="117"/>
      <c r="B76" s="117"/>
      <c r="G76" s="117"/>
      <c r="H76" s="117"/>
      <c r="I76" s="117"/>
      <c r="J76" s="117"/>
      <c r="M76" s="117"/>
      <c r="N76" s="65"/>
      <c r="O76" s="117"/>
      <c r="P76" s="117"/>
      <c r="Q76" s="117"/>
      <c r="R76" s="117"/>
    </row>
    <row r="77" spans="1:18" ht="14.25" customHeight="1" x14ac:dyDescent="0.3">
      <c r="A77" s="117"/>
      <c r="B77" s="117"/>
      <c r="G77" s="117"/>
      <c r="H77" s="117"/>
      <c r="I77" s="117"/>
      <c r="J77" s="117"/>
      <c r="M77" s="117"/>
      <c r="N77" s="65"/>
      <c r="O77" s="117"/>
      <c r="P77" s="117"/>
      <c r="Q77" s="117"/>
      <c r="R77" s="117"/>
    </row>
    <row r="78" spans="1:18" ht="14.25" customHeight="1" x14ac:dyDescent="0.3">
      <c r="A78" s="117"/>
      <c r="B78" s="117"/>
      <c r="G78" s="117"/>
      <c r="H78" s="117"/>
      <c r="I78" s="117"/>
      <c r="J78" s="117"/>
      <c r="M78" s="117"/>
      <c r="N78" s="65"/>
      <c r="O78" s="117"/>
      <c r="P78" s="117"/>
      <c r="Q78" s="117"/>
      <c r="R78" s="117"/>
    </row>
    <row r="79" spans="1:18" ht="14.25" customHeight="1" x14ac:dyDescent="0.3">
      <c r="A79" s="117"/>
      <c r="B79" s="117"/>
      <c r="G79" s="117"/>
      <c r="H79" s="117"/>
      <c r="I79" s="117"/>
      <c r="J79" s="117"/>
      <c r="M79" s="117"/>
      <c r="N79" s="65"/>
      <c r="O79" s="117"/>
      <c r="P79" s="117"/>
      <c r="Q79" s="117"/>
      <c r="R79" s="117"/>
    </row>
    <row r="80" spans="1:18" ht="14.25" customHeight="1" x14ac:dyDescent="0.3">
      <c r="A80" s="117"/>
      <c r="B80" s="117"/>
      <c r="G80" s="117"/>
      <c r="H80" s="117"/>
      <c r="I80" s="117"/>
      <c r="J80" s="117"/>
      <c r="M80" s="117"/>
      <c r="N80" s="65"/>
      <c r="O80" s="117"/>
      <c r="P80" s="117"/>
      <c r="Q80" s="117"/>
      <c r="R80" s="117"/>
    </row>
    <row r="81" spans="1:18" ht="14.25" customHeight="1" x14ac:dyDescent="0.3">
      <c r="A81" s="117"/>
      <c r="B81" s="117"/>
      <c r="G81" s="117"/>
      <c r="H81" s="117"/>
      <c r="I81" s="117"/>
      <c r="J81" s="117"/>
      <c r="M81" s="117"/>
      <c r="N81" s="65"/>
      <c r="O81" s="117"/>
      <c r="P81" s="117"/>
      <c r="Q81" s="117"/>
      <c r="R81" s="117"/>
    </row>
    <row r="82" spans="1:18" ht="14.25" customHeight="1" x14ac:dyDescent="0.3">
      <c r="A82" s="117"/>
      <c r="B82" s="117"/>
      <c r="G82" s="117"/>
      <c r="H82" s="117"/>
      <c r="I82" s="117"/>
      <c r="J82" s="117"/>
      <c r="M82" s="117"/>
      <c r="N82" s="65"/>
      <c r="O82" s="117"/>
      <c r="P82" s="117"/>
      <c r="Q82" s="117"/>
      <c r="R82" s="117"/>
    </row>
    <row r="83" spans="1:18" ht="14.25" customHeight="1" x14ac:dyDescent="0.3">
      <c r="A83" s="117"/>
      <c r="B83" s="117"/>
      <c r="G83" s="117"/>
      <c r="H83" s="117"/>
      <c r="I83" s="117"/>
      <c r="J83" s="117"/>
      <c r="M83" s="117"/>
      <c r="N83" s="65"/>
      <c r="O83" s="117"/>
      <c r="P83" s="117"/>
      <c r="Q83" s="117"/>
      <c r="R83" s="117"/>
    </row>
    <row r="84" spans="1:18" ht="14.25" customHeight="1" x14ac:dyDescent="0.3">
      <c r="A84" s="117"/>
      <c r="B84" s="117"/>
      <c r="G84" s="117"/>
      <c r="H84" s="117"/>
      <c r="I84" s="117"/>
      <c r="J84" s="117"/>
      <c r="M84" s="117"/>
      <c r="N84" s="65"/>
      <c r="O84" s="117"/>
      <c r="P84" s="117"/>
      <c r="Q84" s="117"/>
      <c r="R84" s="117"/>
    </row>
    <row r="85" spans="1:18" ht="14.25" customHeight="1" x14ac:dyDescent="0.3"/>
    <row r="86" spans="1:18" ht="14.25" customHeight="1" x14ac:dyDescent="0.3"/>
    <row r="87" spans="1:18" ht="14.25" customHeight="1" x14ac:dyDescent="0.3"/>
    <row r="88" spans="1:18" ht="14.25" customHeight="1" x14ac:dyDescent="0.3"/>
    <row r="89" spans="1:18" ht="14.25" customHeight="1" x14ac:dyDescent="0.3"/>
    <row r="90" spans="1:18" ht="14.25" customHeight="1" x14ac:dyDescent="0.3"/>
    <row r="91" spans="1:18" ht="14.25" customHeight="1" x14ac:dyDescent="0.3"/>
    <row r="92" spans="1:18" ht="14.25" customHeight="1" x14ac:dyDescent="0.3"/>
    <row r="93" spans="1:18" ht="14.25" customHeight="1" x14ac:dyDescent="0.3"/>
    <row r="94" spans="1:18" ht="14.25" customHeight="1" x14ac:dyDescent="0.3"/>
    <row r="95" spans="1:18" ht="14.25" customHeight="1" x14ac:dyDescent="0.3"/>
    <row r="96" spans="1:1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411">
    <mergeCell ref="BJ33:BJ45"/>
    <mergeCell ref="BL33:BL45"/>
    <mergeCell ref="BM33:BM45"/>
    <mergeCell ref="BN33:BN45"/>
    <mergeCell ref="AW33:AW45"/>
    <mergeCell ref="AY33:AY45"/>
    <mergeCell ref="BA33:BA45"/>
    <mergeCell ref="BB33:BB45"/>
    <mergeCell ref="BC33:BC45"/>
    <mergeCell ref="BD33:BD45"/>
    <mergeCell ref="BE33:BE45"/>
    <mergeCell ref="BG33:BG45"/>
    <mergeCell ref="BH33:BH45"/>
    <mergeCell ref="AK33:AK45"/>
    <mergeCell ref="AL33:AL45"/>
    <mergeCell ref="AN33:AN45"/>
    <mergeCell ref="AO33:AO45"/>
    <mergeCell ref="AQ33:AQ45"/>
    <mergeCell ref="AS33:AS45"/>
    <mergeCell ref="AT33:AT45"/>
    <mergeCell ref="AU33:AU45"/>
    <mergeCell ref="AV33:AV45"/>
    <mergeCell ref="Z33:Z45"/>
    <mergeCell ref="AA33:AA45"/>
    <mergeCell ref="AB33:AB45"/>
    <mergeCell ref="AC33:AC45"/>
    <mergeCell ref="AD33:AD45"/>
    <mergeCell ref="AF33:AF45"/>
    <mergeCell ref="AH33:AH45"/>
    <mergeCell ref="AI33:AI45"/>
    <mergeCell ref="AJ33:AJ45"/>
    <mergeCell ref="N33:N45"/>
    <mergeCell ref="O33:O45"/>
    <mergeCell ref="P33:P45"/>
    <mergeCell ref="Q33:Q45"/>
    <mergeCell ref="R33:R45"/>
    <mergeCell ref="T33:T45"/>
    <mergeCell ref="U33:U45"/>
    <mergeCell ref="V33:V45"/>
    <mergeCell ref="X33:X45"/>
    <mergeCell ref="A33:A45"/>
    <mergeCell ref="B33:B45"/>
    <mergeCell ref="D33:D45"/>
    <mergeCell ref="F33:F45"/>
    <mergeCell ref="G33:G45"/>
    <mergeCell ref="H33:H45"/>
    <mergeCell ref="I33:I45"/>
    <mergeCell ref="J33:J45"/>
    <mergeCell ref="L33:L45"/>
    <mergeCell ref="DI33:DI45"/>
    <mergeCell ref="DJ33:DJ45"/>
    <mergeCell ref="CQ33:CQ45"/>
    <mergeCell ref="CS33:CS45"/>
    <mergeCell ref="CT33:CT45"/>
    <mergeCell ref="CV33:CV45"/>
    <mergeCell ref="CX33:CX45"/>
    <mergeCell ref="CY33:CY45"/>
    <mergeCell ref="CZ33:CZ45"/>
    <mergeCell ref="CN33:CN45"/>
    <mergeCell ref="CO33:CO45"/>
    <mergeCell ref="CP33:CP45"/>
    <mergeCell ref="DA33:DA45"/>
    <mergeCell ref="DB33:DB45"/>
    <mergeCell ref="DD33:DD45"/>
    <mergeCell ref="DF33:DF45"/>
    <mergeCell ref="DG33:DG45"/>
    <mergeCell ref="DH33:DH45"/>
    <mergeCell ref="CA33:CA45"/>
    <mergeCell ref="CC33:CC45"/>
    <mergeCell ref="CE33:CE45"/>
    <mergeCell ref="CF33:CF45"/>
    <mergeCell ref="CG33:CG45"/>
    <mergeCell ref="CH33:CH45"/>
    <mergeCell ref="CI33:CI45"/>
    <mergeCell ref="CK33:CK45"/>
    <mergeCell ref="CM33:CM45"/>
    <mergeCell ref="BO33:BO45"/>
    <mergeCell ref="BP33:BP45"/>
    <mergeCell ref="BR33:BR45"/>
    <mergeCell ref="BT33:BT45"/>
    <mergeCell ref="BU33:BU45"/>
    <mergeCell ref="BV33:BV45"/>
    <mergeCell ref="BW33:BW45"/>
    <mergeCell ref="BX33:BX45"/>
    <mergeCell ref="BZ33:BZ45"/>
    <mergeCell ref="DB20:DB32"/>
    <mergeCell ref="DD20:DD32"/>
    <mergeCell ref="DF20:DF32"/>
    <mergeCell ref="DG20:DG32"/>
    <mergeCell ref="DH20:DH32"/>
    <mergeCell ref="DI20:DI32"/>
    <mergeCell ref="DJ20:DJ32"/>
    <mergeCell ref="CQ20:CQ32"/>
    <mergeCell ref="CS20:CS32"/>
    <mergeCell ref="CT20:CT32"/>
    <mergeCell ref="CV20:CV32"/>
    <mergeCell ref="CX20:CX32"/>
    <mergeCell ref="CY20:CY32"/>
    <mergeCell ref="CZ20:CZ32"/>
    <mergeCell ref="CG20:CG32"/>
    <mergeCell ref="CH20:CH32"/>
    <mergeCell ref="CI20:CI32"/>
    <mergeCell ref="CK20:CK32"/>
    <mergeCell ref="CM20:CM32"/>
    <mergeCell ref="CN20:CN32"/>
    <mergeCell ref="CO20:CO32"/>
    <mergeCell ref="CP20:CP32"/>
    <mergeCell ref="DA20:DA32"/>
    <mergeCell ref="BU20:BU32"/>
    <mergeCell ref="BV20:BV32"/>
    <mergeCell ref="BW20:BW32"/>
    <mergeCell ref="BX20:BX32"/>
    <mergeCell ref="BZ20:BZ32"/>
    <mergeCell ref="CA20:CA32"/>
    <mergeCell ref="CC20:CC32"/>
    <mergeCell ref="CE20:CE32"/>
    <mergeCell ref="CF20:CF32"/>
    <mergeCell ref="BH20:BH32"/>
    <mergeCell ref="BJ20:BJ32"/>
    <mergeCell ref="BL20:BL32"/>
    <mergeCell ref="BM20:BM32"/>
    <mergeCell ref="BN20:BN32"/>
    <mergeCell ref="BO20:BO32"/>
    <mergeCell ref="BP20:BP32"/>
    <mergeCell ref="BR20:BR32"/>
    <mergeCell ref="BT20:BT32"/>
    <mergeCell ref="AV20:AV32"/>
    <mergeCell ref="AW20:AW32"/>
    <mergeCell ref="AY20:AY32"/>
    <mergeCell ref="BA20:BA32"/>
    <mergeCell ref="BB20:BB32"/>
    <mergeCell ref="BC20:BC32"/>
    <mergeCell ref="BD20:BD32"/>
    <mergeCell ref="BE20:BE32"/>
    <mergeCell ref="BG20:BG32"/>
    <mergeCell ref="CV7:CV19"/>
    <mergeCell ref="CX7:CX19"/>
    <mergeCell ref="CM7:CM19"/>
    <mergeCell ref="CN7:CN19"/>
    <mergeCell ref="CO7:CO19"/>
    <mergeCell ref="CP7:CP19"/>
    <mergeCell ref="CQ7:CQ19"/>
    <mergeCell ref="CS7:CS19"/>
    <mergeCell ref="CT7:CT19"/>
    <mergeCell ref="BO7:BO19"/>
    <mergeCell ref="BP7:BP19"/>
    <mergeCell ref="BR7:BR19"/>
    <mergeCell ref="BT7:BT19"/>
    <mergeCell ref="BU7:BU19"/>
    <mergeCell ref="BV7:BV19"/>
    <mergeCell ref="CI7:CI19"/>
    <mergeCell ref="CK7:CK19"/>
    <mergeCell ref="BZ7:BZ19"/>
    <mergeCell ref="CA7:CA19"/>
    <mergeCell ref="CC7:CC19"/>
    <mergeCell ref="CE7:CE19"/>
    <mergeCell ref="CF7:CF19"/>
    <mergeCell ref="CG7:CG19"/>
    <mergeCell ref="CH7:CH19"/>
    <mergeCell ref="U5:U6"/>
    <mergeCell ref="V5:V6"/>
    <mergeCell ref="W5:Z5"/>
    <mergeCell ref="AB5:AD5"/>
    <mergeCell ref="AE5:AH5"/>
    <mergeCell ref="AN5:AN6"/>
    <mergeCell ref="AO5:AO6"/>
    <mergeCell ref="A5:A6"/>
    <mergeCell ref="B5:B6"/>
    <mergeCell ref="C5:F5"/>
    <mergeCell ref="H5:J5"/>
    <mergeCell ref="K5:N5"/>
    <mergeCell ref="P5:R5"/>
    <mergeCell ref="T5:T6"/>
    <mergeCell ref="BG46:BG58"/>
    <mergeCell ref="BH46:BH58"/>
    <mergeCell ref="BJ46:BJ58"/>
    <mergeCell ref="BL46:BL58"/>
    <mergeCell ref="BM46:BM58"/>
    <mergeCell ref="BN46:BN58"/>
    <mergeCell ref="A46:A58"/>
    <mergeCell ref="B46:B58"/>
    <mergeCell ref="D46:D58"/>
    <mergeCell ref="F46:F58"/>
    <mergeCell ref="G46:G58"/>
    <mergeCell ref="H46:H58"/>
    <mergeCell ref="I46:I58"/>
    <mergeCell ref="AU46:AU58"/>
    <mergeCell ref="AV46:AV58"/>
    <mergeCell ref="AW46:AW58"/>
    <mergeCell ref="AY46:AY58"/>
    <mergeCell ref="BA46:BA58"/>
    <mergeCell ref="BB46:BB58"/>
    <mergeCell ref="BC46:BC58"/>
    <mergeCell ref="BD46:BD58"/>
    <mergeCell ref="BE46:BE58"/>
    <mergeCell ref="Q72:Q84"/>
    <mergeCell ref="R72:R84"/>
    <mergeCell ref="A72:A84"/>
    <mergeCell ref="B72:B84"/>
    <mergeCell ref="G72:G84"/>
    <mergeCell ref="H72:H84"/>
    <mergeCell ref="I72:I84"/>
    <mergeCell ref="J72:J84"/>
    <mergeCell ref="M72:M84"/>
    <mergeCell ref="A59:A71"/>
    <mergeCell ref="B59:B71"/>
    <mergeCell ref="G59:G71"/>
    <mergeCell ref="H59:H71"/>
    <mergeCell ref="I59:I71"/>
    <mergeCell ref="J59:J71"/>
    <mergeCell ref="M59:M71"/>
    <mergeCell ref="O72:O84"/>
    <mergeCell ref="P72:P84"/>
    <mergeCell ref="DJ46:DJ58"/>
    <mergeCell ref="CQ46:CQ58"/>
    <mergeCell ref="CS46:CS58"/>
    <mergeCell ref="CT46:CT58"/>
    <mergeCell ref="CV46:CV58"/>
    <mergeCell ref="CX46:CX58"/>
    <mergeCell ref="CY46:CY58"/>
    <mergeCell ref="CZ46:CZ58"/>
    <mergeCell ref="O59:O71"/>
    <mergeCell ref="P59:P71"/>
    <mergeCell ref="Q59:Q71"/>
    <mergeCell ref="R59:R71"/>
    <mergeCell ref="O46:O58"/>
    <mergeCell ref="P46:P58"/>
    <mergeCell ref="Q46:Q58"/>
    <mergeCell ref="R46:R58"/>
    <mergeCell ref="T46:T58"/>
    <mergeCell ref="U46:U58"/>
    <mergeCell ref="V46:V58"/>
    <mergeCell ref="X46:X58"/>
    <mergeCell ref="Z46:Z58"/>
    <mergeCell ref="AA46:AA58"/>
    <mergeCell ref="AB46:AB58"/>
    <mergeCell ref="AC46:AC58"/>
    <mergeCell ref="CO46:CO58"/>
    <mergeCell ref="CP46:CP58"/>
    <mergeCell ref="DA46:DA58"/>
    <mergeCell ref="DB46:DB58"/>
    <mergeCell ref="DD46:DD58"/>
    <mergeCell ref="DF46:DF58"/>
    <mergeCell ref="DG46:DG58"/>
    <mergeCell ref="DH46:DH58"/>
    <mergeCell ref="DI46:DI58"/>
    <mergeCell ref="CC46:CC58"/>
    <mergeCell ref="CE46:CE58"/>
    <mergeCell ref="CF46:CF58"/>
    <mergeCell ref="CG46:CG58"/>
    <mergeCell ref="CH46:CH58"/>
    <mergeCell ref="CI46:CI58"/>
    <mergeCell ref="CK46:CK58"/>
    <mergeCell ref="CM46:CM58"/>
    <mergeCell ref="CN46:CN58"/>
    <mergeCell ref="BP46:BP58"/>
    <mergeCell ref="BR46:BR58"/>
    <mergeCell ref="BT46:BT58"/>
    <mergeCell ref="BU46:BU58"/>
    <mergeCell ref="BV46:BV58"/>
    <mergeCell ref="BW46:BW58"/>
    <mergeCell ref="BX46:BX58"/>
    <mergeCell ref="BZ46:BZ58"/>
    <mergeCell ref="CA46:CA58"/>
    <mergeCell ref="AU20:AU32"/>
    <mergeCell ref="A20:A32"/>
    <mergeCell ref="B20:B32"/>
    <mergeCell ref="D20:D32"/>
    <mergeCell ref="F20:F32"/>
    <mergeCell ref="G20:G32"/>
    <mergeCell ref="H20:H32"/>
    <mergeCell ref="I20:I32"/>
    <mergeCell ref="BO46:BO58"/>
    <mergeCell ref="J46:J58"/>
    <mergeCell ref="L46:L58"/>
    <mergeCell ref="N46:N58"/>
    <mergeCell ref="AD46:AD58"/>
    <mergeCell ref="AF46:AF58"/>
    <mergeCell ref="AH46:AH58"/>
    <mergeCell ref="AI46:AI58"/>
    <mergeCell ref="AJ46:AJ58"/>
    <mergeCell ref="AK46:AK58"/>
    <mergeCell ref="AL46:AL58"/>
    <mergeCell ref="AN46:AN58"/>
    <mergeCell ref="AO46:AO58"/>
    <mergeCell ref="AQ46:AQ58"/>
    <mergeCell ref="AS46:AS58"/>
    <mergeCell ref="AT46:AT58"/>
    <mergeCell ref="AI20:AI32"/>
    <mergeCell ref="AJ20:AJ32"/>
    <mergeCell ref="AK20:AK32"/>
    <mergeCell ref="AL20:AL32"/>
    <mergeCell ref="AN20:AN32"/>
    <mergeCell ref="AO20:AO32"/>
    <mergeCell ref="AQ20:AQ32"/>
    <mergeCell ref="AS20:AS32"/>
    <mergeCell ref="AT20:AT32"/>
    <mergeCell ref="V20:V32"/>
    <mergeCell ref="X20:X32"/>
    <mergeCell ref="Z20:Z32"/>
    <mergeCell ref="AA20:AA32"/>
    <mergeCell ref="AB20:AB32"/>
    <mergeCell ref="AC20:AC32"/>
    <mergeCell ref="AD20:AD32"/>
    <mergeCell ref="AF20:AF32"/>
    <mergeCell ref="AH20:AH32"/>
    <mergeCell ref="J20:J32"/>
    <mergeCell ref="L20:L32"/>
    <mergeCell ref="N20:N32"/>
    <mergeCell ref="O20:O32"/>
    <mergeCell ref="P20:P32"/>
    <mergeCell ref="Q20:Q32"/>
    <mergeCell ref="R20:R32"/>
    <mergeCell ref="T20:T32"/>
    <mergeCell ref="U20:U32"/>
    <mergeCell ref="AL7:AL19"/>
    <mergeCell ref="AN7:AN19"/>
    <mergeCell ref="AC7:AC19"/>
    <mergeCell ref="AD7:AD19"/>
    <mergeCell ref="AF7:AF19"/>
    <mergeCell ref="AH7:AH19"/>
    <mergeCell ref="AI7:AI19"/>
    <mergeCell ref="AJ7:AJ19"/>
    <mergeCell ref="AK7:AK19"/>
    <mergeCell ref="CZ5:DB5"/>
    <mergeCell ref="DF7:DF19"/>
    <mergeCell ref="DG7:DG19"/>
    <mergeCell ref="AY7:AY19"/>
    <mergeCell ref="BA7:BA19"/>
    <mergeCell ref="AO7:AO19"/>
    <mergeCell ref="AQ7:AQ19"/>
    <mergeCell ref="AS7:AS19"/>
    <mergeCell ref="AT7:AT19"/>
    <mergeCell ref="AU7:AU19"/>
    <mergeCell ref="AV7:AV19"/>
    <mergeCell ref="AW7:AW19"/>
    <mergeCell ref="BL7:BL19"/>
    <mergeCell ref="BM7:BM19"/>
    <mergeCell ref="BB7:BB19"/>
    <mergeCell ref="BC7:BC19"/>
    <mergeCell ref="BD7:BD19"/>
    <mergeCell ref="BE7:BE19"/>
    <mergeCell ref="BG7:BG19"/>
    <mergeCell ref="BH7:BH19"/>
    <mergeCell ref="BJ7:BJ19"/>
    <mergeCell ref="BW7:BW19"/>
    <mergeCell ref="BX7:BX19"/>
    <mergeCell ref="BN7:BN19"/>
    <mergeCell ref="BZ5:BZ6"/>
    <mergeCell ref="CA5:CA6"/>
    <mergeCell ref="CB5:CE5"/>
    <mergeCell ref="CG5:CI5"/>
    <mergeCell ref="CJ5:CM5"/>
    <mergeCell ref="CO5:CQ5"/>
    <mergeCell ref="CS5:CS6"/>
    <mergeCell ref="CT5:CT6"/>
    <mergeCell ref="CU5:CX5"/>
    <mergeCell ref="AU5:AW5"/>
    <mergeCell ref="AX5:BA5"/>
    <mergeCell ref="BC5:BE5"/>
    <mergeCell ref="BG5:BG6"/>
    <mergeCell ref="BH5:BH6"/>
    <mergeCell ref="BI5:BL5"/>
    <mergeCell ref="BN5:BP5"/>
    <mergeCell ref="BQ5:BT5"/>
    <mergeCell ref="BV5:BX5"/>
    <mergeCell ref="BQ4:BX4"/>
    <mergeCell ref="CB4:CI4"/>
    <mergeCell ref="CJ4:CQ4"/>
    <mergeCell ref="CU4:DB4"/>
    <mergeCell ref="DC4:DJ4"/>
    <mergeCell ref="C4:J4"/>
    <mergeCell ref="K4:R4"/>
    <mergeCell ref="W4:AD4"/>
    <mergeCell ref="AE4:AL4"/>
    <mergeCell ref="AP4:AW4"/>
    <mergeCell ref="AX4:BE4"/>
    <mergeCell ref="BI4:BP4"/>
    <mergeCell ref="N7:N19"/>
    <mergeCell ref="O7:O19"/>
    <mergeCell ref="P7:P19"/>
    <mergeCell ref="Q7:Q19"/>
    <mergeCell ref="R7:R19"/>
    <mergeCell ref="DH7:DH19"/>
    <mergeCell ref="DI7:DI19"/>
    <mergeCell ref="DC5:DF5"/>
    <mergeCell ref="DH5:DJ5"/>
    <mergeCell ref="CY7:CY19"/>
    <mergeCell ref="CZ7:CZ19"/>
    <mergeCell ref="DA7:DA19"/>
    <mergeCell ref="DB7:DB19"/>
    <mergeCell ref="DD7:DD19"/>
    <mergeCell ref="DJ7:DJ19"/>
    <mergeCell ref="T7:T19"/>
    <mergeCell ref="U7:U19"/>
    <mergeCell ref="V7:V19"/>
    <mergeCell ref="X7:X19"/>
    <mergeCell ref="Z7:Z19"/>
    <mergeCell ref="AA7:AA19"/>
    <mergeCell ref="AB7:AB19"/>
    <mergeCell ref="AJ5:AL5"/>
    <mergeCell ref="AP5:AS5"/>
    <mergeCell ref="A7:A19"/>
    <mergeCell ref="B7:B19"/>
    <mergeCell ref="D7:D19"/>
    <mergeCell ref="F7:F19"/>
    <mergeCell ref="G7:G19"/>
    <mergeCell ref="H7:H19"/>
    <mergeCell ref="I7:I19"/>
    <mergeCell ref="J7:J19"/>
    <mergeCell ref="L7:L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V320"/>
  <sheetViews>
    <sheetView tabSelected="1" topLeftCell="I117" workbookViewId="0">
      <selection activeCell="K129" sqref="K129"/>
    </sheetView>
  </sheetViews>
  <sheetFormatPr defaultRowHeight="14.4" x14ac:dyDescent="0.3"/>
  <sheetData>
    <row r="3" spans="2:22" x14ac:dyDescent="0.3">
      <c r="B3" s="95" t="s">
        <v>118</v>
      </c>
      <c r="C3" s="96">
        <v>190</v>
      </c>
      <c r="D3" s="97">
        <v>0</v>
      </c>
      <c r="E3" s="97">
        <v>1E-3</v>
      </c>
      <c r="F3" s="97">
        <v>0</v>
      </c>
      <c r="G3" s="97">
        <v>2E-3</v>
      </c>
      <c r="H3" s="97">
        <v>2E-3</v>
      </c>
      <c r="I3" s="97">
        <v>1E-3</v>
      </c>
      <c r="J3" s="97">
        <v>1E-3</v>
      </c>
      <c r="K3" s="97">
        <v>1E-3</v>
      </c>
      <c r="L3" s="97">
        <v>2E-3</v>
      </c>
      <c r="M3" s="97">
        <v>2E-3</v>
      </c>
      <c r="N3" s="97">
        <v>2E-3</v>
      </c>
      <c r="O3" s="97">
        <v>1E-3</v>
      </c>
      <c r="P3" s="97">
        <v>2E-3</v>
      </c>
      <c r="Q3" s="97">
        <v>1E-3</v>
      </c>
      <c r="R3" s="97">
        <v>0.8</v>
      </c>
      <c r="S3" s="97">
        <v>0.79002009669572637</v>
      </c>
      <c r="T3" s="98">
        <v>0.26061599010238606</v>
      </c>
      <c r="U3" s="97">
        <v>9.979903304273674E-3</v>
      </c>
      <c r="V3" s="97">
        <v>9.9598469962652593E-5</v>
      </c>
    </row>
    <row r="4" spans="2:22" x14ac:dyDescent="0.3">
      <c r="B4" s="95" t="s">
        <v>118</v>
      </c>
      <c r="C4" s="96">
        <v>340</v>
      </c>
      <c r="D4" s="97">
        <v>0</v>
      </c>
      <c r="E4" s="97">
        <v>0</v>
      </c>
      <c r="F4" s="97">
        <v>1E-3</v>
      </c>
      <c r="G4" s="97">
        <v>0</v>
      </c>
      <c r="H4" s="97">
        <v>4.0000000000000001E-3</v>
      </c>
      <c r="I4" s="97">
        <v>1E-3</v>
      </c>
      <c r="J4" s="97">
        <v>0</v>
      </c>
      <c r="K4" s="97">
        <v>1E-3</v>
      </c>
      <c r="L4" s="97">
        <v>0</v>
      </c>
      <c r="M4" s="97">
        <v>0</v>
      </c>
      <c r="N4" s="97">
        <v>1E-3</v>
      </c>
      <c r="O4" s="97">
        <v>1E-3</v>
      </c>
      <c r="P4" s="97">
        <v>1E-3</v>
      </c>
      <c r="Q4" s="97">
        <v>1E-3</v>
      </c>
      <c r="R4" s="97">
        <v>0.8</v>
      </c>
      <c r="S4" s="97">
        <v>0.80241213590551608</v>
      </c>
      <c r="T4" s="98">
        <v>-6.2990709239474765E-2</v>
      </c>
      <c r="U4" s="97">
        <v>2.412135905516033E-3</v>
      </c>
      <c r="V4" s="97">
        <v>5.8183996266796526E-6</v>
      </c>
    </row>
    <row r="5" spans="2:22" x14ac:dyDescent="0.3">
      <c r="B5" s="95" t="s">
        <v>118</v>
      </c>
      <c r="C5" s="96">
        <v>510</v>
      </c>
      <c r="D5" s="97">
        <v>0</v>
      </c>
      <c r="E5" s="97">
        <v>2.3E-2</v>
      </c>
      <c r="F5" s="97">
        <v>1.7999999999999999E-2</v>
      </c>
      <c r="G5" s="97">
        <v>1.9E-2</v>
      </c>
      <c r="H5" s="97">
        <v>2.4E-2</v>
      </c>
      <c r="I5" s="97">
        <v>1.7000000000000001E-2</v>
      </c>
      <c r="J5" s="97">
        <v>1.2999999999999999E-2</v>
      </c>
      <c r="K5" s="97">
        <v>1.2999999999999999E-2</v>
      </c>
      <c r="L5" s="97">
        <v>1.6E-2</v>
      </c>
      <c r="M5" s="97">
        <v>1.7999999999999999E-2</v>
      </c>
      <c r="N5" s="97">
        <v>1.7999999999999999E-2</v>
      </c>
      <c r="O5" s="97">
        <v>1.4000000000000002E-2</v>
      </c>
      <c r="P5" s="97">
        <v>1.4E-2</v>
      </c>
      <c r="Q5" s="97">
        <v>9.9999999999999985E-3</v>
      </c>
      <c r="R5" s="97">
        <v>0.5</v>
      </c>
      <c r="S5" s="97">
        <v>0.47999610424504513</v>
      </c>
      <c r="T5" s="98">
        <v>0.52238332768715146</v>
      </c>
      <c r="U5" s="97">
        <v>2.000389575495487E-2</v>
      </c>
      <c r="V5" s="97">
        <v>4.0015584537510148E-4</v>
      </c>
    </row>
    <row r="6" spans="2:22" x14ac:dyDescent="0.3">
      <c r="B6" s="95" t="s">
        <v>119</v>
      </c>
      <c r="C6" s="96">
        <v>192.00000000000003</v>
      </c>
      <c r="D6" s="97">
        <v>0.25</v>
      </c>
      <c r="E6" s="97">
        <v>1.5000000000000123E-2</v>
      </c>
      <c r="F6" s="97">
        <v>1.6000000000000014E-2</v>
      </c>
      <c r="G6" s="97">
        <v>1.5000000000000124E-2</v>
      </c>
      <c r="H6" s="97">
        <v>9.9999999999997868E-3</v>
      </c>
      <c r="I6" s="97">
        <v>1.2999999999999901E-2</v>
      </c>
      <c r="J6" s="97">
        <v>1.399999999999979E-2</v>
      </c>
      <c r="K6" s="97">
        <v>1.499999999999968E-2</v>
      </c>
      <c r="L6" s="97">
        <v>1.4000000000000234E-2</v>
      </c>
      <c r="M6" s="97">
        <v>1.8000000000000238E-2</v>
      </c>
      <c r="N6" s="97">
        <v>6.6999999999999726E-2</v>
      </c>
      <c r="O6" s="97">
        <v>1.0000000000000231E-2</v>
      </c>
      <c r="P6" s="97">
        <v>1.4000000000000233E-2</v>
      </c>
      <c r="Q6" s="97">
        <v>1.2999999999999901E-2</v>
      </c>
      <c r="R6" s="97">
        <v>0</v>
      </c>
      <c r="S6" s="97">
        <v>0.16401982040283766</v>
      </c>
      <c r="T6" s="98">
        <v>-4.2832266593601123</v>
      </c>
      <c r="U6" s="97">
        <v>0.16401982040283766</v>
      </c>
      <c r="V6" s="97">
        <v>2.6902501484979122E-2</v>
      </c>
    </row>
    <row r="7" spans="2:22" x14ac:dyDescent="0.3">
      <c r="B7" s="95" t="s">
        <v>118</v>
      </c>
      <c r="C7" s="96">
        <v>358</v>
      </c>
      <c r="D7" s="97">
        <v>0.25</v>
      </c>
      <c r="E7" s="97">
        <v>2.8000000000000025E-2</v>
      </c>
      <c r="F7" s="97">
        <v>3.0000000000000245E-2</v>
      </c>
      <c r="G7" s="97">
        <v>2.4000000000000021E-2</v>
      </c>
      <c r="H7" s="97">
        <v>2.8000000000000025E-2</v>
      </c>
      <c r="I7" s="97">
        <v>2.7000000000000135E-2</v>
      </c>
      <c r="J7" s="97">
        <v>2.5999999999999801E-2</v>
      </c>
      <c r="K7" s="97">
        <v>2.9000000000000359E-2</v>
      </c>
      <c r="L7" s="97">
        <v>2.4000000000000018E-2</v>
      </c>
      <c r="M7" s="97">
        <v>2.8000000000000025E-2</v>
      </c>
      <c r="N7" s="97">
        <v>2.8000000000000025E-2</v>
      </c>
      <c r="O7" s="97">
        <v>2.4000000000000021E-2</v>
      </c>
      <c r="P7" s="97">
        <v>2.7000000000000135E-2</v>
      </c>
      <c r="Q7" s="97">
        <v>2.6999999999999691E-2</v>
      </c>
      <c r="R7" s="97">
        <v>0.1</v>
      </c>
      <c r="S7" s="97">
        <v>0.14603568145418824</v>
      </c>
      <c r="T7" s="98">
        <v>-1.2021794536910588</v>
      </c>
      <c r="U7" s="97">
        <v>4.6035681454188238E-2</v>
      </c>
      <c r="V7" s="97">
        <v>2.1192839669514907E-3</v>
      </c>
    </row>
    <row r="8" spans="2:22" x14ac:dyDescent="0.3">
      <c r="B8" s="95" t="s">
        <v>118</v>
      </c>
      <c r="C8" s="96">
        <v>510</v>
      </c>
      <c r="D8" s="97">
        <v>0.25</v>
      </c>
      <c r="E8" s="97">
        <v>5.0999999999999712E-2</v>
      </c>
      <c r="F8" s="97">
        <v>6.800000000000006E-2</v>
      </c>
      <c r="G8" s="97">
        <v>6.0999999999999943E-2</v>
      </c>
      <c r="H8" s="97">
        <v>5.7999999999999829E-2</v>
      </c>
      <c r="I8" s="97">
        <v>6.1999999999999833E-2</v>
      </c>
      <c r="J8" s="97">
        <v>7.9000000000000181E-2</v>
      </c>
      <c r="K8" s="97">
        <v>4.7000000000000153E-2</v>
      </c>
      <c r="L8" s="97">
        <v>6.5999999999999837E-2</v>
      </c>
      <c r="M8" s="97">
        <v>6.2000000000000277E-2</v>
      </c>
      <c r="N8" s="97">
        <v>5.2999999999999936E-2</v>
      </c>
      <c r="O8" s="97">
        <v>5.699999999999994E-2</v>
      </c>
      <c r="P8" s="97">
        <v>5.5999999999999606E-2</v>
      </c>
      <c r="Q8" s="97">
        <v>6.1999999999999833E-2</v>
      </c>
      <c r="R8" s="97">
        <v>0.2</v>
      </c>
      <c r="S8" s="97">
        <v>0.2011197252088508</v>
      </c>
      <c r="T8" s="98">
        <v>-2.9240593325416668E-2</v>
      </c>
      <c r="U8" s="97">
        <v>1.1197252088507859E-3</v>
      </c>
      <c r="V8" s="97">
        <v>1.2537845433359359E-6</v>
      </c>
    </row>
    <row r="9" spans="2:22" x14ac:dyDescent="0.3">
      <c r="B9" s="95" t="s">
        <v>119</v>
      </c>
      <c r="C9" s="96">
        <v>677</v>
      </c>
      <c r="D9" s="97">
        <v>0.25</v>
      </c>
      <c r="E9" s="97">
        <v>3.2999999999999918E-2</v>
      </c>
      <c r="F9" s="97">
        <v>3.4999999999999698E-2</v>
      </c>
      <c r="G9" s="97">
        <v>4.4999999999999929E-2</v>
      </c>
      <c r="H9" s="97">
        <v>4.8999999999999932E-2</v>
      </c>
      <c r="I9" s="97">
        <v>2.1999999999999794E-2</v>
      </c>
      <c r="J9" s="97">
        <v>5.5999999999999599E-2</v>
      </c>
      <c r="K9" s="97">
        <v>3.3999999999999808E-2</v>
      </c>
      <c r="L9" s="97">
        <v>4.3999999999999595E-2</v>
      </c>
      <c r="M9" s="97">
        <v>4.4999999999999929E-2</v>
      </c>
      <c r="N9" s="97">
        <v>4.1999999999999822E-2</v>
      </c>
      <c r="O9" s="97">
        <v>6.0000000000000053E-2</v>
      </c>
      <c r="P9" s="97">
        <v>4.4999999999999929E-2</v>
      </c>
      <c r="Q9" s="97">
        <v>4.5999999999999819E-2</v>
      </c>
      <c r="R9" s="97">
        <v>2</v>
      </c>
      <c r="S9" s="97">
        <v>2.2119952381389658</v>
      </c>
      <c r="T9" s="98">
        <v>-5.5360605408790251</v>
      </c>
      <c r="U9" s="97">
        <v>0.21199523813896581</v>
      </c>
      <c r="V9" s="97">
        <v>4.4941980993596822E-2</v>
      </c>
    </row>
    <row r="10" spans="2:22" x14ac:dyDescent="0.3">
      <c r="B10" s="95" t="s">
        <v>118</v>
      </c>
      <c r="C10" s="96">
        <v>178</v>
      </c>
      <c r="D10" s="97">
        <v>0.5</v>
      </c>
      <c r="E10" s="97">
        <v>1.9000000000000128E-2</v>
      </c>
      <c r="F10" s="97">
        <v>2.2999999999999684E-2</v>
      </c>
      <c r="G10" s="97">
        <v>2.3000000000000131E-2</v>
      </c>
      <c r="H10" s="97">
        <v>2.0999999999999908E-2</v>
      </c>
      <c r="I10" s="97">
        <v>2.2000000000000242E-2</v>
      </c>
      <c r="J10" s="97">
        <v>1.8000000000000238E-2</v>
      </c>
      <c r="K10" s="97">
        <v>2.4000000000000021E-2</v>
      </c>
      <c r="L10" s="97">
        <v>2.0999999999999908E-2</v>
      </c>
      <c r="M10" s="97">
        <v>1.7000000000000348E-2</v>
      </c>
      <c r="N10" s="97">
        <v>1.9000000000000128E-2</v>
      </c>
      <c r="O10" s="97">
        <v>3.0000000000000249E-2</v>
      </c>
      <c r="P10" s="97">
        <v>1.9000000000000128E-2</v>
      </c>
      <c r="Q10" s="97">
        <v>2.0000000000000018E-2</v>
      </c>
      <c r="R10" s="97">
        <v>0</v>
      </c>
      <c r="S10" s="97">
        <v>8.9664985314115098E-2</v>
      </c>
      <c r="T10" s="98">
        <v>-2.3415185711415782</v>
      </c>
      <c r="U10" s="97">
        <v>8.9664985314115098E-2</v>
      </c>
      <c r="V10" s="97">
        <v>8.039809591380476E-3</v>
      </c>
    </row>
    <row r="11" spans="2:22" x14ac:dyDescent="0.3">
      <c r="B11" s="95" t="s">
        <v>118</v>
      </c>
      <c r="C11" s="96">
        <v>350</v>
      </c>
      <c r="D11" s="97">
        <v>0.5</v>
      </c>
      <c r="E11" s="97">
        <v>2.1999999999999797E-2</v>
      </c>
      <c r="F11" s="97">
        <v>2.7000000000000135E-2</v>
      </c>
      <c r="G11" s="97">
        <v>2.3000000000000131E-2</v>
      </c>
      <c r="H11" s="97">
        <v>2.1999999999999797E-2</v>
      </c>
      <c r="I11" s="97">
        <v>2.7000000000000135E-2</v>
      </c>
      <c r="J11" s="97">
        <v>2.3000000000000131E-2</v>
      </c>
      <c r="K11" s="97">
        <v>2.4000000000000021E-2</v>
      </c>
      <c r="L11" s="97">
        <v>2.0999999999999908E-2</v>
      </c>
      <c r="M11" s="97">
        <v>2.0999999999999908E-2</v>
      </c>
      <c r="N11" s="97">
        <v>2.3000000000000131E-2</v>
      </c>
      <c r="O11" s="97">
        <v>3.2999999999999918E-2</v>
      </c>
      <c r="P11" s="97">
        <v>2.0000000000000018E-2</v>
      </c>
      <c r="Q11" s="97">
        <v>2.3000000000000131E-2</v>
      </c>
      <c r="R11" s="97">
        <v>0.2</v>
      </c>
      <c r="S11" s="97">
        <v>6.4789412199651966E-2</v>
      </c>
      <c r="T11" s="98">
        <v>3.5309000636131809</v>
      </c>
      <c r="U11" s="97">
        <v>0.13521058780034806</v>
      </c>
      <c r="V11" s="97">
        <v>1.8281903053315632E-2</v>
      </c>
    </row>
    <row r="12" spans="2:22" x14ac:dyDescent="0.3">
      <c r="B12" s="95" t="s">
        <v>118</v>
      </c>
      <c r="C12" s="96">
        <v>492</v>
      </c>
      <c r="D12" s="97">
        <v>0.5</v>
      </c>
      <c r="E12" s="97">
        <v>5.600000000000005E-2</v>
      </c>
      <c r="F12" s="97">
        <v>5.2000000000000046E-2</v>
      </c>
      <c r="G12" s="97">
        <v>5.2999999999999936E-2</v>
      </c>
      <c r="H12" s="97">
        <v>5.600000000000005E-2</v>
      </c>
      <c r="I12" s="97">
        <v>5.7000000000000391E-2</v>
      </c>
      <c r="J12" s="97">
        <v>4.9999999999999822E-2</v>
      </c>
      <c r="K12" s="97">
        <v>4.8000000000000043E-2</v>
      </c>
      <c r="L12" s="97">
        <v>5.300000000000038E-2</v>
      </c>
      <c r="M12" s="97">
        <v>4.0000000000000036E-2</v>
      </c>
      <c r="N12" s="97">
        <v>5.500000000000016E-2</v>
      </c>
      <c r="O12" s="97">
        <v>5.1000000000000156E-2</v>
      </c>
      <c r="P12" s="97">
        <v>4.7000000000000153E-2</v>
      </c>
      <c r="Q12" s="97">
        <v>5.500000000000016E-2</v>
      </c>
      <c r="R12" s="97">
        <v>0.4</v>
      </c>
      <c r="S12" s="97">
        <v>0.40070231946517981</v>
      </c>
      <c r="T12" s="98">
        <v>-1.8340426475638126E-2</v>
      </c>
      <c r="U12" s="97">
        <v>7.0231946517979038E-4</v>
      </c>
      <c r="V12" s="97">
        <v>4.9325263117042675E-7</v>
      </c>
    </row>
    <row r="13" spans="2:22" x14ac:dyDescent="0.3">
      <c r="B13" s="95" t="s">
        <v>118</v>
      </c>
      <c r="C13" s="96">
        <v>495</v>
      </c>
      <c r="D13" s="97">
        <v>0.5</v>
      </c>
      <c r="E13" s="97">
        <v>4.0000000000000036E-2</v>
      </c>
      <c r="F13" s="97">
        <v>4.6000000000000263E-2</v>
      </c>
      <c r="G13" s="97">
        <v>4.6999999999999709E-2</v>
      </c>
      <c r="H13" s="97">
        <v>4.4000000000000039E-2</v>
      </c>
      <c r="I13" s="97">
        <v>0.15399999999999991</v>
      </c>
      <c r="J13" s="97">
        <v>3.6000000000000032E-2</v>
      </c>
      <c r="K13" s="97">
        <v>5.1000000000000156E-2</v>
      </c>
      <c r="L13" s="97">
        <v>4.8999999999999932E-2</v>
      </c>
      <c r="M13" s="97">
        <v>4.8000000000000036E-2</v>
      </c>
      <c r="N13" s="97">
        <v>5.1000000000000156E-2</v>
      </c>
      <c r="O13" s="97">
        <v>3.4000000000000252E-2</v>
      </c>
      <c r="P13" s="97">
        <v>5.500000000000016E-2</v>
      </c>
      <c r="Q13" s="97">
        <v>3.5000000000000142E-2</v>
      </c>
      <c r="R13" s="97">
        <v>1.7</v>
      </c>
      <c r="S13" s="97">
        <v>1.7026339572350671</v>
      </c>
      <c r="T13" s="98">
        <v>-6.8783369114447934E-2</v>
      </c>
      <c r="U13" s="97">
        <v>2.633957235067097E-3</v>
      </c>
      <c r="V13" s="97">
        <v>6.9377307161623065E-6</v>
      </c>
    </row>
    <row r="14" spans="2:22" x14ac:dyDescent="0.3">
      <c r="B14" s="95" t="s">
        <v>120</v>
      </c>
      <c r="C14" s="96">
        <v>180.00000000000003</v>
      </c>
      <c r="D14" s="97">
        <v>0.75</v>
      </c>
      <c r="E14" s="97">
        <v>4.9999999999999822E-2</v>
      </c>
      <c r="F14" s="97">
        <v>5.3999999999999826E-2</v>
      </c>
      <c r="G14" s="97">
        <v>5.0999999999999712E-2</v>
      </c>
      <c r="H14" s="97">
        <v>5.0000000000000266E-2</v>
      </c>
      <c r="I14" s="97">
        <v>5.2000000000000046E-2</v>
      </c>
      <c r="J14" s="97">
        <v>5.500000000000016E-2</v>
      </c>
      <c r="K14" s="97">
        <v>5.4000000000000277E-2</v>
      </c>
      <c r="L14" s="97">
        <v>5.1000000000000156E-2</v>
      </c>
      <c r="M14" s="97">
        <v>5.300000000000038E-2</v>
      </c>
      <c r="N14" s="97">
        <v>5.2000000000000046E-2</v>
      </c>
      <c r="O14" s="97">
        <v>4.0999999999999925E-2</v>
      </c>
      <c r="P14" s="97">
        <v>0.15300000000000002</v>
      </c>
      <c r="Q14" s="97">
        <v>5.2999999999999936E-2</v>
      </c>
      <c r="R14" s="97">
        <v>1.3</v>
      </c>
      <c r="S14" s="97">
        <v>1.4926001379379109E-2</v>
      </c>
      <c r="T14" s="98">
        <v>33.558524796720945</v>
      </c>
      <c r="U14" s="97">
        <v>1.285073998620621</v>
      </c>
      <c r="V14" s="97">
        <v>1.6514151819307918</v>
      </c>
    </row>
    <row r="15" spans="2:22" x14ac:dyDescent="0.3">
      <c r="B15" s="95" t="s">
        <v>118</v>
      </c>
      <c r="C15" s="96">
        <v>338</v>
      </c>
      <c r="D15" s="97">
        <v>0.75</v>
      </c>
      <c r="E15" s="97">
        <v>0.14500000000000002</v>
      </c>
      <c r="F15" s="97">
        <v>0.1419999999999999</v>
      </c>
      <c r="G15" s="97">
        <v>0.13900000000000023</v>
      </c>
      <c r="H15" s="97">
        <v>0.14400000000000013</v>
      </c>
      <c r="I15" s="97">
        <v>0.1419999999999999</v>
      </c>
      <c r="J15" s="97">
        <v>0.1469999999999998</v>
      </c>
      <c r="K15" s="97">
        <v>0.13899999999999979</v>
      </c>
      <c r="L15" s="97">
        <v>0.14400000000000013</v>
      </c>
      <c r="M15" s="97">
        <v>0.14300000000000024</v>
      </c>
      <c r="N15" s="97">
        <v>0.14300000000000024</v>
      </c>
      <c r="O15" s="97">
        <v>0.14900000000000047</v>
      </c>
      <c r="P15" s="97">
        <v>0.14199999999999993</v>
      </c>
      <c r="Q15" s="97">
        <v>0.13899999999999979</v>
      </c>
      <c r="R15" s="97">
        <v>3.8</v>
      </c>
      <c r="S15" s="97">
        <v>3.7806966978221945</v>
      </c>
      <c r="T15" s="98">
        <v>0.50408797118905591</v>
      </c>
      <c r="U15" s="97">
        <v>1.9303302177805293E-2</v>
      </c>
      <c r="V15" s="97">
        <v>3.7261747496766253E-4</v>
      </c>
    </row>
    <row r="16" spans="2:22" x14ac:dyDescent="0.3">
      <c r="B16" s="95" t="s">
        <v>120</v>
      </c>
      <c r="C16" s="96">
        <v>480</v>
      </c>
      <c r="D16" s="97">
        <v>0.75</v>
      </c>
      <c r="E16" s="97">
        <v>9.4999999999999751E-2</v>
      </c>
      <c r="F16" s="97">
        <v>9.1000000000000192E-2</v>
      </c>
      <c r="G16" s="97">
        <v>9.6999999999999975E-2</v>
      </c>
      <c r="H16" s="97">
        <v>8.7000000000000188E-2</v>
      </c>
      <c r="I16" s="97">
        <v>9.9000000000000185E-2</v>
      </c>
      <c r="J16" s="97">
        <v>9.7999999999999865E-2</v>
      </c>
      <c r="K16" s="97">
        <v>9.4999999999999765E-2</v>
      </c>
      <c r="L16" s="97">
        <v>0.10000000000000009</v>
      </c>
      <c r="M16" s="97">
        <v>8.9999999999999858E-2</v>
      </c>
      <c r="N16" s="97">
        <v>9.6999999999999975E-2</v>
      </c>
      <c r="O16" s="97">
        <v>9.0000000000000302E-2</v>
      </c>
      <c r="P16" s="97">
        <v>8.8999999999999968E-2</v>
      </c>
      <c r="Q16" s="97">
        <v>8.9999999999999858E-2</v>
      </c>
      <c r="R16" s="97">
        <v>2</v>
      </c>
      <c r="S16" s="97">
        <v>8.0037996131587921E-2</v>
      </c>
      <c r="T16" s="98">
        <v>50.138040754648763</v>
      </c>
      <c r="U16" s="97">
        <v>1.919962003868412</v>
      </c>
      <c r="V16" s="97">
        <v>3.6862540962984078</v>
      </c>
    </row>
    <row r="20" spans="2:13" x14ac:dyDescent="0.3">
      <c r="B20" s="147" t="s">
        <v>121</v>
      </c>
      <c r="C20" s="149" t="s">
        <v>140</v>
      </c>
      <c r="D20" s="148"/>
      <c r="E20" s="148"/>
      <c r="F20" s="148"/>
      <c r="G20" s="148"/>
      <c r="H20" s="148"/>
      <c r="I20" s="148"/>
      <c r="J20" s="148"/>
      <c r="K20" s="148"/>
      <c r="L20" s="148"/>
      <c r="M20" s="148"/>
    </row>
    <row r="21" spans="2:13" ht="39.6" x14ac:dyDescent="0.3">
      <c r="B21" s="148"/>
      <c r="C21" s="99" t="s">
        <v>111</v>
      </c>
      <c r="D21" s="99" t="s">
        <v>112</v>
      </c>
      <c r="E21" s="99" t="s">
        <v>113</v>
      </c>
      <c r="F21" s="99" t="s">
        <v>114</v>
      </c>
      <c r="G21" s="99" t="s">
        <v>115</v>
      </c>
      <c r="H21" s="99" t="s">
        <v>116</v>
      </c>
      <c r="I21" s="99" t="s">
        <v>101</v>
      </c>
      <c r="J21" s="99" t="s">
        <v>122</v>
      </c>
      <c r="K21" s="99" t="s">
        <v>123</v>
      </c>
      <c r="L21" s="99" t="s">
        <v>124</v>
      </c>
      <c r="M21" s="99" t="s">
        <v>125</v>
      </c>
    </row>
    <row r="22" spans="2:13" x14ac:dyDescent="0.3">
      <c r="B22" s="100" t="s">
        <v>126</v>
      </c>
      <c r="C22" s="97">
        <v>2E-3</v>
      </c>
      <c r="D22" s="97">
        <v>2E-3</v>
      </c>
      <c r="E22" s="97">
        <v>2E-3</v>
      </c>
      <c r="F22" s="97">
        <v>1E-3</v>
      </c>
      <c r="G22" s="97">
        <v>2E-3</v>
      </c>
      <c r="H22" s="97">
        <v>1E-3</v>
      </c>
      <c r="I22" s="97">
        <v>0.8</v>
      </c>
      <c r="J22" s="97">
        <v>0.79002009669572637</v>
      </c>
      <c r="K22" s="98">
        <v>0.26061599010238606</v>
      </c>
      <c r="L22" s="97">
        <v>9.979903304273674E-3</v>
      </c>
      <c r="M22" s="97">
        <v>9.9598469962652593E-5</v>
      </c>
    </row>
    <row r="23" spans="2:13" x14ac:dyDescent="0.3">
      <c r="B23" s="100" t="s">
        <v>127</v>
      </c>
      <c r="C23" s="97">
        <v>0</v>
      </c>
      <c r="D23" s="97">
        <v>0</v>
      </c>
      <c r="E23" s="97">
        <v>1E-3</v>
      </c>
      <c r="F23" s="97">
        <v>1E-3</v>
      </c>
      <c r="G23" s="97">
        <v>1E-3</v>
      </c>
      <c r="H23" s="97">
        <v>1E-3</v>
      </c>
      <c r="I23" s="97">
        <v>0.8</v>
      </c>
      <c r="J23" s="97">
        <v>0.80241213590551608</v>
      </c>
      <c r="K23" s="98">
        <v>-6.2990709239474765E-2</v>
      </c>
      <c r="L23" s="97">
        <v>2.412135905516033E-3</v>
      </c>
      <c r="M23" s="97">
        <v>5.8183996266796526E-6</v>
      </c>
    </row>
    <row r="24" spans="2:13" x14ac:dyDescent="0.3">
      <c r="B24" s="100" t="s">
        <v>128</v>
      </c>
      <c r="C24" s="97">
        <v>1.6E-2</v>
      </c>
      <c r="D24" s="97">
        <v>1.7999999999999999E-2</v>
      </c>
      <c r="E24" s="97">
        <v>1.7999999999999999E-2</v>
      </c>
      <c r="F24" s="97">
        <v>1.4000000000000002E-2</v>
      </c>
      <c r="G24" s="97">
        <v>1.4E-2</v>
      </c>
      <c r="H24" s="97">
        <v>9.9999999999999985E-3</v>
      </c>
      <c r="I24" s="97">
        <v>0.5</v>
      </c>
      <c r="J24" s="97">
        <v>0.47999610424504513</v>
      </c>
      <c r="K24" s="98">
        <v>0.52238332768715146</v>
      </c>
      <c r="L24" s="97">
        <v>2.000389575495487E-2</v>
      </c>
      <c r="M24" s="97">
        <v>4.0015584537510148E-4</v>
      </c>
    </row>
    <row r="25" spans="2:13" x14ac:dyDescent="0.3">
      <c r="B25" s="100" t="s">
        <v>129</v>
      </c>
      <c r="C25" s="97">
        <v>1.4000000000000234E-2</v>
      </c>
      <c r="D25" s="97">
        <v>1.8000000000000238E-2</v>
      </c>
      <c r="E25" s="97">
        <v>6.6999999999999726E-2</v>
      </c>
      <c r="F25" s="97">
        <v>1.0000000000000231E-2</v>
      </c>
      <c r="G25" s="97">
        <v>1.4000000000000233E-2</v>
      </c>
      <c r="H25" s="97">
        <v>1.2999999999999901E-2</v>
      </c>
      <c r="I25" s="97">
        <v>0</v>
      </c>
      <c r="J25" s="97">
        <v>0.16401982040283766</v>
      </c>
      <c r="K25" s="98">
        <v>-4.2832266593601123</v>
      </c>
      <c r="L25" s="97">
        <v>0.16401982040283766</v>
      </c>
      <c r="M25" s="97">
        <v>2.6902501484979122E-2</v>
      </c>
    </row>
    <row r="26" spans="2:13" x14ac:dyDescent="0.3">
      <c r="B26" s="100" t="s">
        <v>130</v>
      </c>
      <c r="C26" s="97">
        <v>2.4000000000000018E-2</v>
      </c>
      <c r="D26" s="97">
        <v>2.8000000000000025E-2</v>
      </c>
      <c r="E26" s="97">
        <v>2.8000000000000025E-2</v>
      </c>
      <c r="F26" s="97">
        <v>2.4000000000000021E-2</v>
      </c>
      <c r="G26" s="97">
        <v>2.7000000000000135E-2</v>
      </c>
      <c r="H26" s="97">
        <v>2.6999999999999691E-2</v>
      </c>
      <c r="I26" s="97">
        <v>0.1</v>
      </c>
      <c r="J26" s="97">
        <v>0.14603568145418824</v>
      </c>
      <c r="K26" s="98">
        <v>-1.2021794536910588</v>
      </c>
      <c r="L26" s="97">
        <v>4.6035681454188238E-2</v>
      </c>
      <c r="M26" s="97">
        <v>2.1192839669514907E-3</v>
      </c>
    </row>
    <row r="27" spans="2:13" x14ac:dyDescent="0.3">
      <c r="B27" s="100" t="s">
        <v>131</v>
      </c>
      <c r="C27" s="97">
        <v>6.5999999999999837E-2</v>
      </c>
      <c r="D27" s="97">
        <v>6.2000000000000277E-2</v>
      </c>
      <c r="E27" s="97">
        <v>5.2999999999999936E-2</v>
      </c>
      <c r="F27" s="97">
        <v>5.699999999999994E-2</v>
      </c>
      <c r="G27" s="97">
        <v>5.5999999999999606E-2</v>
      </c>
      <c r="H27" s="97">
        <v>6.1999999999999833E-2</v>
      </c>
      <c r="I27" s="97">
        <v>0.2</v>
      </c>
      <c r="J27" s="97">
        <v>0.2011197252088508</v>
      </c>
      <c r="K27" s="98">
        <v>-2.9240593325416668E-2</v>
      </c>
      <c r="L27" s="97">
        <v>1.1197252088507859E-3</v>
      </c>
      <c r="M27" s="97">
        <v>1.2537845433359359E-6</v>
      </c>
    </row>
    <row r="28" spans="2:13" x14ac:dyDescent="0.3">
      <c r="B28" s="100" t="s">
        <v>132</v>
      </c>
      <c r="C28" s="97">
        <v>4.3999999999999595E-2</v>
      </c>
      <c r="D28" s="97">
        <v>4.4999999999999929E-2</v>
      </c>
      <c r="E28" s="97">
        <v>4.1999999999999822E-2</v>
      </c>
      <c r="F28" s="97">
        <v>6.0000000000000053E-2</v>
      </c>
      <c r="G28" s="97">
        <v>4.4999999999999929E-2</v>
      </c>
      <c r="H28" s="97">
        <v>4.5999999999999819E-2</v>
      </c>
      <c r="I28" s="97">
        <v>2</v>
      </c>
      <c r="J28" s="97">
        <v>2.2119952381389658</v>
      </c>
      <c r="K28" s="98">
        <v>-5.5360605408790251</v>
      </c>
      <c r="L28" s="97">
        <v>0.21199523813896581</v>
      </c>
      <c r="M28" s="97">
        <v>4.4941980993596822E-2</v>
      </c>
    </row>
    <row r="29" spans="2:13" x14ac:dyDescent="0.3">
      <c r="B29" s="100" t="s">
        <v>133</v>
      </c>
      <c r="C29" s="97">
        <v>2.0999999999999908E-2</v>
      </c>
      <c r="D29" s="97">
        <v>1.7000000000000348E-2</v>
      </c>
      <c r="E29" s="97">
        <v>1.9000000000000128E-2</v>
      </c>
      <c r="F29" s="97">
        <v>3.0000000000000249E-2</v>
      </c>
      <c r="G29" s="97">
        <v>1.9000000000000128E-2</v>
      </c>
      <c r="H29" s="97">
        <v>2.0000000000000018E-2</v>
      </c>
      <c r="I29" s="97">
        <v>0</v>
      </c>
      <c r="J29" s="97">
        <v>8.9664985314115098E-2</v>
      </c>
      <c r="K29" s="98">
        <v>-2.3415185711415782</v>
      </c>
      <c r="L29" s="97">
        <v>8.9664985314115098E-2</v>
      </c>
      <c r="M29" s="97">
        <v>8.039809591380476E-3</v>
      </c>
    </row>
    <row r="30" spans="2:13" x14ac:dyDescent="0.3">
      <c r="B30" s="100" t="s">
        <v>134</v>
      </c>
      <c r="C30" s="97">
        <v>2.0999999999999908E-2</v>
      </c>
      <c r="D30" s="97">
        <v>2.0999999999999908E-2</v>
      </c>
      <c r="E30" s="97">
        <v>2.3000000000000131E-2</v>
      </c>
      <c r="F30" s="97">
        <v>3.2999999999999918E-2</v>
      </c>
      <c r="G30" s="97">
        <v>2.0000000000000018E-2</v>
      </c>
      <c r="H30" s="97">
        <v>2.3000000000000131E-2</v>
      </c>
      <c r="I30" s="97">
        <v>0.2</v>
      </c>
      <c r="J30" s="97">
        <v>6.4789412199651966E-2</v>
      </c>
      <c r="K30" s="98">
        <v>3.5309000636131809</v>
      </c>
      <c r="L30" s="97">
        <v>0.13521058780034806</v>
      </c>
      <c r="M30" s="97">
        <v>1.8281903053315632E-2</v>
      </c>
    </row>
    <row r="31" spans="2:13" x14ac:dyDescent="0.3">
      <c r="B31" s="100" t="s">
        <v>135</v>
      </c>
      <c r="C31" s="97">
        <v>5.300000000000038E-2</v>
      </c>
      <c r="D31" s="97">
        <v>4.0000000000000036E-2</v>
      </c>
      <c r="E31" s="97">
        <v>5.500000000000016E-2</v>
      </c>
      <c r="F31" s="97">
        <v>5.1000000000000156E-2</v>
      </c>
      <c r="G31" s="97">
        <v>4.7000000000000153E-2</v>
      </c>
      <c r="H31" s="97">
        <v>5.500000000000016E-2</v>
      </c>
      <c r="I31" s="97">
        <v>0.4</v>
      </c>
      <c r="J31" s="97">
        <v>0.40070231946517981</v>
      </c>
      <c r="K31" s="98">
        <v>-1.8340426475638126E-2</v>
      </c>
      <c r="L31" s="97">
        <v>7.0231946517979038E-4</v>
      </c>
      <c r="M31" s="97">
        <v>4.9325263117042675E-7</v>
      </c>
    </row>
    <row r="32" spans="2:13" x14ac:dyDescent="0.3">
      <c r="B32" s="100" t="s">
        <v>136</v>
      </c>
      <c r="C32" s="97">
        <v>4.8999999999999932E-2</v>
      </c>
      <c r="D32" s="97">
        <v>4.8000000000000036E-2</v>
      </c>
      <c r="E32" s="97">
        <v>5.1000000000000156E-2</v>
      </c>
      <c r="F32" s="97">
        <v>3.4000000000000252E-2</v>
      </c>
      <c r="G32" s="97">
        <v>5.500000000000016E-2</v>
      </c>
      <c r="H32" s="97">
        <v>3.5000000000000142E-2</v>
      </c>
      <c r="I32" s="97">
        <v>1.7</v>
      </c>
      <c r="J32" s="97">
        <v>1.7026339572350671</v>
      </c>
      <c r="K32" s="98">
        <v>-6.8783369114447934E-2</v>
      </c>
      <c r="L32" s="97">
        <v>2.633957235067097E-3</v>
      </c>
      <c r="M32" s="97">
        <v>6.9377307161623065E-6</v>
      </c>
    </row>
    <row r="33" spans="2:13" x14ac:dyDescent="0.3">
      <c r="B33" s="100" t="s">
        <v>137</v>
      </c>
      <c r="C33" s="97">
        <v>5.1000000000000156E-2</v>
      </c>
      <c r="D33" s="97">
        <v>5.300000000000038E-2</v>
      </c>
      <c r="E33" s="97">
        <v>5.2000000000000046E-2</v>
      </c>
      <c r="F33" s="97">
        <v>4.0999999999999925E-2</v>
      </c>
      <c r="G33" s="97">
        <v>0.15300000000000002</v>
      </c>
      <c r="H33" s="97">
        <v>5.2999999999999936E-2</v>
      </c>
      <c r="I33" s="97">
        <v>1.3</v>
      </c>
      <c r="J33" s="97">
        <v>1.4926001379379109E-2</v>
      </c>
      <c r="K33" s="98">
        <v>33.558524796720945</v>
      </c>
      <c r="L33" s="97">
        <v>1.285073998620621</v>
      </c>
      <c r="M33" s="97">
        <v>1.6514151819307918</v>
      </c>
    </row>
    <row r="34" spans="2:13" x14ac:dyDescent="0.3">
      <c r="B34" s="100" t="s">
        <v>138</v>
      </c>
      <c r="C34" s="97">
        <v>0.14400000000000013</v>
      </c>
      <c r="D34" s="97">
        <v>0.14300000000000024</v>
      </c>
      <c r="E34" s="97">
        <v>0.14300000000000024</v>
      </c>
      <c r="F34" s="97">
        <v>0.14900000000000047</v>
      </c>
      <c r="G34" s="97">
        <v>0.14199999999999993</v>
      </c>
      <c r="H34" s="97">
        <v>0.13899999999999979</v>
      </c>
      <c r="I34" s="97">
        <v>3.8</v>
      </c>
      <c r="J34" s="97">
        <v>3.7806966978221945</v>
      </c>
      <c r="K34" s="98">
        <v>0.50408797118905591</v>
      </c>
      <c r="L34" s="97">
        <v>1.9303302177805293E-2</v>
      </c>
      <c r="M34" s="97">
        <v>3.7261747496766253E-4</v>
      </c>
    </row>
    <row r="35" spans="2:13" x14ac:dyDescent="0.3">
      <c r="B35" s="100" t="s">
        <v>139</v>
      </c>
      <c r="C35" s="97">
        <v>0.10000000000000009</v>
      </c>
      <c r="D35" s="97">
        <v>8.9999999999999858E-2</v>
      </c>
      <c r="E35" s="97">
        <v>9.6999999999999975E-2</v>
      </c>
      <c r="F35" s="97">
        <v>9.0000000000000302E-2</v>
      </c>
      <c r="G35" s="97">
        <v>8.8999999999999968E-2</v>
      </c>
      <c r="H35" s="97">
        <v>8.9999999999999858E-2</v>
      </c>
      <c r="I35" s="97">
        <v>2</v>
      </c>
      <c r="J35" s="97">
        <v>8.0037996131587921E-2</v>
      </c>
      <c r="K35" s="98">
        <v>50.138040754648763</v>
      </c>
      <c r="L35" s="97">
        <v>1.919962003868412</v>
      </c>
      <c r="M35" s="97">
        <v>3.6862540962984078</v>
      </c>
    </row>
    <row r="80" spans="3:5" x14ac:dyDescent="0.3">
      <c r="C80" s="147" t="s">
        <v>141</v>
      </c>
      <c r="D80" s="149" t="s">
        <v>142</v>
      </c>
      <c r="E80" s="148"/>
    </row>
    <row r="81" spans="3:22" ht="26.4" x14ac:dyDescent="0.3">
      <c r="C81" s="148"/>
      <c r="D81" s="99" t="s">
        <v>143</v>
      </c>
      <c r="E81" s="99" t="s">
        <v>144</v>
      </c>
      <c r="J81" s="147" t="s">
        <v>609</v>
      </c>
      <c r="K81" s="149" t="s">
        <v>610</v>
      </c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</row>
    <row r="82" spans="3:22" ht="26.4" x14ac:dyDescent="0.3">
      <c r="C82" s="100" t="s">
        <v>126</v>
      </c>
      <c r="D82" s="95" t="s">
        <v>145</v>
      </c>
      <c r="E82" s="98">
        <v>8.136247066029563E-2</v>
      </c>
      <c r="J82" s="148"/>
      <c r="K82" s="99" t="s">
        <v>611</v>
      </c>
      <c r="L82" s="99" t="s">
        <v>612</v>
      </c>
      <c r="M82" s="99" t="s">
        <v>613</v>
      </c>
      <c r="N82" s="99" t="s">
        <v>614</v>
      </c>
      <c r="O82" s="99" t="s">
        <v>615</v>
      </c>
      <c r="P82" s="99" t="s">
        <v>616</v>
      </c>
      <c r="Q82" s="99" t="s">
        <v>617</v>
      </c>
      <c r="R82" s="99" t="s">
        <v>618</v>
      </c>
      <c r="S82" s="99" t="s">
        <v>619</v>
      </c>
      <c r="T82" s="99" t="s">
        <v>620</v>
      </c>
      <c r="U82" s="99" t="s">
        <v>621</v>
      </c>
      <c r="V82" s="99" t="s">
        <v>622</v>
      </c>
    </row>
    <row r="83" spans="3:22" x14ac:dyDescent="0.3">
      <c r="C83" s="100" t="s">
        <v>127</v>
      </c>
      <c r="D83" s="95" t="s">
        <v>146</v>
      </c>
      <c r="E83" s="98">
        <v>1.5259114893548502</v>
      </c>
      <c r="J83" s="100"/>
      <c r="K83" s="95">
        <v>18</v>
      </c>
      <c r="L83" s="95" t="s">
        <v>623</v>
      </c>
      <c r="M83" s="97">
        <v>0.9987791581844282</v>
      </c>
      <c r="N83" s="97">
        <v>1</v>
      </c>
      <c r="O83" s="97">
        <v>1</v>
      </c>
      <c r="P83" s="97">
        <v>1.4663935784735181E-3</v>
      </c>
      <c r="Q83" s="97">
        <v>1.7961120619643986E-2</v>
      </c>
      <c r="R83" s="97">
        <v>1.3344173195572999</v>
      </c>
      <c r="S83" s="95" t="s">
        <v>624</v>
      </c>
      <c r="T83" s="95" t="s">
        <v>625</v>
      </c>
      <c r="U83" s="95" t="s">
        <v>626</v>
      </c>
      <c r="V83" s="95" t="s">
        <v>627</v>
      </c>
    </row>
    <row r="84" spans="3:22" x14ac:dyDescent="0.3">
      <c r="C84" s="100" t="s">
        <v>128</v>
      </c>
      <c r="D84" s="95" t="s">
        <v>147</v>
      </c>
      <c r="E84" s="98">
        <v>0.83012607308511499</v>
      </c>
    </row>
    <row r="85" spans="3:22" x14ac:dyDescent="0.3">
      <c r="C85" s="100" t="s">
        <v>129</v>
      </c>
      <c r="D85" s="95" t="s">
        <v>148</v>
      </c>
      <c r="E85" s="98">
        <v>2.5451433080679244</v>
      </c>
    </row>
    <row r="86" spans="3:22" x14ac:dyDescent="0.3">
      <c r="C86" s="100" t="s">
        <v>130</v>
      </c>
      <c r="D86" s="95" t="s">
        <v>149</v>
      </c>
      <c r="E86" s="98">
        <v>0.84602197327828288</v>
      </c>
    </row>
    <row r="87" spans="3:22" x14ac:dyDescent="0.3">
      <c r="C87" s="100" t="s">
        <v>131</v>
      </c>
      <c r="D87" s="95" t="s">
        <v>150</v>
      </c>
      <c r="E87" s="98">
        <v>-0.96400697076584696</v>
      </c>
    </row>
    <row r="88" spans="3:22" x14ac:dyDescent="0.3">
      <c r="C88" s="100" t="s">
        <v>132</v>
      </c>
      <c r="D88" s="95" t="s">
        <v>151</v>
      </c>
      <c r="E88" s="98">
        <v>-1.31563219143002</v>
      </c>
    </row>
    <row r="89" spans="3:22" x14ac:dyDescent="0.3">
      <c r="C89" s="100" t="s">
        <v>133</v>
      </c>
      <c r="D89" s="95" t="s">
        <v>152</v>
      </c>
      <c r="E89" s="98">
        <v>0.98599278887460895</v>
      </c>
    </row>
    <row r="90" spans="3:22" x14ac:dyDescent="0.3">
      <c r="C90" s="100" t="s">
        <v>134</v>
      </c>
      <c r="D90" s="95" t="s">
        <v>153</v>
      </c>
      <c r="E90" s="98">
        <v>-0.52434440848354447</v>
      </c>
    </row>
    <row r="91" spans="3:22" x14ac:dyDescent="0.3">
      <c r="C91" s="100" t="s">
        <v>135</v>
      </c>
      <c r="D91" s="95" t="s">
        <v>154</v>
      </c>
      <c r="E91" s="98">
        <v>-3.0447117123951373E-2</v>
      </c>
    </row>
    <row r="92" spans="3:22" x14ac:dyDescent="0.3">
      <c r="C92" s="100" t="s">
        <v>136</v>
      </c>
      <c r="D92" s="95" t="s">
        <v>155</v>
      </c>
      <c r="E92" s="98">
        <v>3.0811560786191241</v>
      </c>
    </row>
    <row r="93" spans="3:22" x14ac:dyDescent="0.3">
      <c r="C93" s="100" t="s">
        <v>137</v>
      </c>
      <c r="D93" s="95" t="s">
        <v>156</v>
      </c>
      <c r="E93" s="98">
        <v>-0.68273810357104114</v>
      </c>
    </row>
    <row r="94" spans="3:22" x14ac:dyDescent="0.3">
      <c r="C94" s="100" t="s">
        <v>138</v>
      </c>
      <c r="D94" s="95" t="s">
        <v>157</v>
      </c>
      <c r="E94" s="98">
        <v>-3.7191684702530257</v>
      </c>
    </row>
    <row r="95" spans="3:22" x14ac:dyDescent="0.3">
      <c r="C95" s="100" t="s">
        <v>139</v>
      </c>
      <c r="D95" s="95" t="s">
        <v>158</v>
      </c>
      <c r="E95" s="98">
        <v>-0.43932776360929759</v>
      </c>
    </row>
    <row r="96" spans="3:22" x14ac:dyDescent="0.3">
      <c r="C96" s="100" t="s">
        <v>159</v>
      </c>
      <c r="D96" s="95" t="s">
        <v>160</v>
      </c>
      <c r="E96" s="98">
        <v>-1.4771458319978015</v>
      </c>
    </row>
    <row r="97" spans="3:5" x14ac:dyDescent="0.3">
      <c r="C97" s="100" t="s">
        <v>161</v>
      </c>
      <c r="D97" s="95" t="s">
        <v>162</v>
      </c>
      <c r="E97" s="98">
        <v>0.12184114114957456</v>
      </c>
    </row>
    <row r="98" spans="3:5" x14ac:dyDescent="0.3">
      <c r="C98" s="100" t="s">
        <v>163</v>
      </c>
      <c r="D98" s="95" t="s">
        <v>164</v>
      </c>
      <c r="E98" s="98">
        <v>1.5188508723736249</v>
      </c>
    </row>
    <row r="99" spans="3:5" x14ac:dyDescent="0.3">
      <c r="C99" s="100" t="s">
        <v>165</v>
      </c>
      <c r="D99" s="95" t="s">
        <v>166</v>
      </c>
      <c r="E99" s="98">
        <v>0.60047220108889021</v>
      </c>
    </row>
    <row r="100" spans="3:5" x14ac:dyDescent="0.3">
      <c r="C100" s="100" t="s">
        <v>167</v>
      </c>
      <c r="D100" s="95" t="s">
        <v>168</v>
      </c>
      <c r="E100" s="98">
        <v>2.5804518372121192</v>
      </c>
    </row>
    <row r="101" spans="3:5" x14ac:dyDescent="0.3">
      <c r="C101" s="100" t="s">
        <v>169</v>
      </c>
      <c r="D101" s="95" t="s">
        <v>170</v>
      </c>
      <c r="E101" s="98">
        <v>0.64540494514426139</v>
      </c>
    </row>
    <row r="102" spans="3:5" x14ac:dyDescent="0.3">
      <c r="C102" s="100" t="s">
        <v>171</v>
      </c>
      <c r="D102" s="95" t="s">
        <v>172</v>
      </c>
      <c r="E102" s="98">
        <v>-1.1639910595311165</v>
      </c>
    </row>
    <row r="103" spans="3:5" x14ac:dyDescent="0.3">
      <c r="C103" s="100" t="s">
        <v>173</v>
      </c>
      <c r="D103" s="95" t="s">
        <v>174</v>
      </c>
      <c r="E103" s="98">
        <v>-1.4630144085355701</v>
      </c>
    </row>
    <row r="104" spans="3:5" x14ac:dyDescent="0.3">
      <c r="C104" s="100" t="s">
        <v>175</v>
      </c>
      <c r="D104" s="95" t="s">
        <v>176</v>
      </c>
      <c r="E104" s="98">
        <v>1.0048574660894729</v>
      </c>
    </row>
    <row r="105" spans="3:5" x14ac:dyDescent="0.3">
      <c r="C105" s="100" t="s">
        <v>177</v>
      </c>
      <c r="D105" s="95" t="s">
        <v>178</v>
      </c>
      <c r="E105" s="98">
        <v>-0.59822494081383504</v>
      </c>
    </row>
    <row r="106" spans="3:5" x14ac:dyDescent="0.3">
      <c r="C106" s="100" t="s">
        <v>179</v>
      </c>
      <c r="D106" s="95" t="s">
        <v>180</v>
      </c>
      <c r="E106" s="98">
        <v>-0.24556703334874258</v>
      </c>
    </row>
    <row r="107" spans="3:5" x14ac:dyDescent="0.3">
      <c r="C107" s="100" t="s">
        <v>181</v>
      </c>
      <c r="D107" s="95" t="s">
        <v>182</v>
      </c>
      <c r="E107" s="98">
        <v>3.3643990111017517</v>
      </c>
    </row>
    <row r="108" spans="3:5" x14ac:dyDescent="0.3">
      <c r="C108" s="100" t="s">
        <v>183</v>
      </c>
      <c r="D108" s="95" t="s">
        <v>184</v>
      </c>
      <c r="E108" s="98">
        <v>-0.96457349533280945</v>
      </c>
    </row>
    <row r="109" spans="3:5" x14ac:dyDescent="0.3">
      <c r="C109" s="100" t="s">
        <v>185</v>
      </c>
      <c r="D109" s="95" t="s">
        <v>186</v>
      </c>
      <c r="E109" s="98">
        <v>-3.3122710956884331</v>
      </c>
    </row>
    <row r="110" spans="3:5" x14ac:dyDescent="0.3">
      <c r="C110" s="100" t="s">
        <v>187</v>
      </c>
      <c r="D110" s="95" t="s">
        <v>188</v>
      </c>
      <c r="E110" s="98">
        <v>-0.49739485092158803</v>
      </c>
    </row>
    <row r="111" spans="3:5" x14ac:dyDescent="0.3">
      <c r="C111" s="100" t="s">
        <v>189</v>
      </c>
      <c r="D111" s="95" t="s">
        <v>190</v>
      </c>
      <c r="E111" s="98">
        <v>-1.8548757827715998</v>
      </c>
    </row>
    <row r="112" spans="3:5" x14ac:dyDescent="0.3">
      <c r="C112" s="100" t="s">
        <v>191</v>
      </c>
      <c r="D112" s="95" t="s">
        <v>192</v>
      </c>
      <c r="E112" s="98">
        <v>-3.4006062357144259E-3</v>
      </c>
    </row>
    <row r="113" spans="3:5" x14ac:dyDescent="0.3">
      <c r="C113" s="100" t="s">
        <v>193</v>
      </c>
      <c r="D113" s="95" t="s">
        <v>194</v>
      </c>
      <c r="E113" s="98">
        <v>-0.89774439337351386</v>
      </c>
    </row>
    <row r="114" spans="3:5" x14ac:dyDescent="0.3">
      <c r="C114" s="100" t="s">
        <v>195</v>
      </c>
      <c r="D114" s="95" t="s">
        <v>196</v>
      </c>
      <c r="E114" s="98">
        <v>-0.63409716959202667</v>
      </c>
    </row>
    <row r="115" spans="3:5" x14ac:dyDescent="0.3">
      <c r="C115" s="100" t="s">
        <v>197</v>
      </c>
      <c r="D115" s="95" t="s">
        <v>198</v>
      </c>
      <c r="E115" s="98">
        <v>-1.6017095496968219</v>
      </c>
    </row>
    <row r="116" spans="3:5" x14ac:dyDescent="0.3">
      <c r="C116" s="100" t="s">
        <v>199</v>
      </c>
      <c r="D116" s="95" t="s">
        <v>200</v>
      </c>
      <c r="E116" s="98">
        <v>-0.65885936360435549</v>
      </c>
    </row>
    <row r="117" spans="3:5" x14ac:dyDescent="0.3">
      <c r="C117" s="100" t="s">
        <v>201</v>
      </c>
      <c r="D117" s="95" t="s">
        <v>202</v>
      </c>
      <c r="E117" s="98">
        <v>0.14743492842680916</v>
      </c>
    </row>
    <row r="118" spans="3:5" x14ac:dyDescent="0.3">
      <c r="C118" s="100" t="s">
        <v>203</v>
      </c>
      <c r="D118" s="95" t="s">
        <v>204</v>
      </c>
      <c r="E118" s="98">
        <v>8.4551274417940095E-2</v>
      </c>
    </row>
    <row r="119" spans="3:5" x14ac:dyDescent="0.3">
      <c r="C119" s="100" t="s">
        <v>205</v>
      </c>
      <c r="D119" s="95" t="s">
        <v>206</v>
      </c>
      <c r="E119" s="98">
        <v>-0.82465243031684865</v>
      </c>
    </row>
    <row r="120" spans="3:5" x14ac:dyDescent="0.3">
      <c r="C120" s="100" t="s">
        <v>207</v>
      </c>
      <c r="D120" s="95" t="s">
        <v>208</v>
      </c>
      <c r="E120" s="98">
        <v>-0.23381416344121098</v>
      </c>
    </row>
    <row r="121" spans="3:5" x14ac:dyDescent="0.3">
      <c r="C121" s="100" t="s">
        <v>209</v>
      </c>
      <c r="D121" s="95" t="s">
        <v>210</v>
      </c>
      <c r="E121" s="98">
        <v>-0.21373807394634978</v>
      </c>
    </row>
    <row r="122" spans="3:5" x14ac:dyDescent="0.3">
      <c r="C122" s="100" t="s">
        <v>211</v>
      </c>
      <c r="D122" s="95" t="s">
        <v>212</v>
      </c>
      <c r="E122" s="98">
        <v>-2.1763020438411536</v>
      </c>
    </row>
    <row r="123" spans="3:5" x14ac:dyDescent="0.3">
      <c r="C123" s="100" t="s">
        <v>213</v>
      </c>
      <c r="D123" s="95" t="s">
        <v>214</v>
      </c>
      <c r="E123" s="98">
        <v>4.5613493457103737E-3</v>
      </c>
    </row>
    <row r="124" spans="3:5" x14ac:dyDescent="0.3">
      <c r="C124" s="100" t="s">
        <v>215</v>
      </c>
      <c r="D124" s="95" t="s">
        <v>216</v>
      </c>
      <c r="E124" s="98">
        <v>0.87301677605203909</v>
      </c>
    </row>
    <row r="125" spans="3:5" x14ac:dyDescent="0.3">
      <c r="C125" s="100" t="s">
        <v>217</v>
      </c>
      <c r="D125" s="95" t="s">
        <v>218</v>
      </c>
      <c r="E125" s="98">
        <v>-0.21942895061590179</v>
      </c>
    </row>
    <row r="126" spans="3:5" x14ac:dyDescent="0.3">
      <c r="C126" s="100" t="s">
        <v>219</v>
      </c>
      <c r="D126" s="95" t="s">
        <v>220</v>
      </c>
      <c r="E126" s="98">
        <v>0.70999073119702294</v>
      </c>
    </row>
    <row r="127" spans="3:5" x14ac:dyDescent="0.3">
      <c r="C127" s="100" t="s">
        <v>221</v>
      </c>
      <c r="D127" s="95" t="s">
        <v>222</v>
      </c>
      <c r="E127" s="98">
        <v>-0.11570214901108065</v>
      </c>
    </row>
    <row r="128" spans="3:5" x14ac:dyDescent="0.3">
      <c r="C128" s="100" t="s">
        <v>223</v>
      </c>
      <c r="D128" s="95" t="s">
        <v>224</v>
      </c>
      <c r="E128" s="98">
        <v>-0.76235776900223962</v>
      </c>
    </row>
    <row r="129" spans="3:5" x14ac:dyDescent="0.3">
      <c r="C129" s="100" t="s">
        <v>225</v>
      </c>
      <c r="D129" s="95" t="s">
        <v>226</v>
      </c>
      <c r="E129" s="98">
        <v>-0.18091949118907058</v>
      </c>
    </row>
    <row r="130" spans="3:5" x14ac:dyDescent="0.3">
      <c r="C130" s="100" t="s">
        <v>227</v>
      </c>
      <c r="D130" s="95" t="s">
        <v>228</v>
      </c>
      <c r="E130" s="98">
        <v>-1.3572929079866571</v>
      </c>
    </row>
    <row r="131" spans="3:5" x14ac:dyDescent="0.3">
      <c r="C131" s="100" t="s">
        <v>229</v>
      </c>
      <c r="D131" s="95" t="s">
        <v>230</v>
      </c>
      <c r="E131" s="98">
        <v>-0.21702622253343054</v>
      </c>
    </row>
    <row r="132" spans="3:5" x14ac:dyDescent="0.3">
      <c r="C132" s="100" t="s">
        <v>231</v>
      </c>
      <c r="D132" s="95" t="s">
        <v>232</v>
      </c>
      <c r="E132" s="98">
        <v>0.93326293999582233</v>
      </c>
    </row>
    <row r="133" spans="3:5" x14ac:dyDescent="0.3">
      <c r="C133" s="100" t="s">
        <v>233</v>
      </c>
      <c r="D133" s="95" t="s">
        <v>234</v>
      </c>
      <c r="E133" s="98">
        <v>1.242169674240305</v>
      </c>
    </row>
    <row r="134" spans="3:5" x14ac:dyDescent="0.3">
      <c r="C134" s="100" t="s">
        <v>235</v>
      </c>
      <c r="D134" s="95" t="s">
        <v>236</v>
      </c>
      <c r="E134" s="98">
        <v>-0.3417421390527039</v>
      </c>
    </row>
    <row r="135" spans="3:5" x14ac:dyDescent="0.3">
      <c r="C135" s="100" t="s">
        <v>237</v>
      </c>
      <c r="D135" s="95" t="s">
        <v>238</v>
      </c>
      <c r="E135" s="98">
        <v>0.65198894434007104</v>
      </c>
    </row>
    <row r="136" spans="3:5" x14ac:dyDescent="0.3">
      <c r="C136" s="100" t="s">
        <v>239</v>
      </c>
      <c r="D136" s="95" t="s">
        <v>240</v>
      </c>
      <c r="E136" s="98">
        <v>0.37957431008457232</v>
      </c>
    </row>
    <row r="137" spans="3:5" x14ac:dyDescent="0.3">
      <c r="C137" s="100" t="s">
        <v>241</v>
      </c>
      <c r="D137" s="95" t="s">
        <v>242</v>
      </c>
      <c r="E137" s="98">
        <v>-1.6695000334136445</v>
      </c>
    </row>
    <row r="138" spans="3:5" x14ac:dyDescent="0.3">
      <c r="C138" s="100" t="s">
        <v>243</v>
      </c>
      <c r="D138" s="95" t="s">
        <v>244</v>
      </c>
      <c r="E138" s="98">
        <v>0.78660638173791964</v>
      </c>
    </row>
    <row r="139" spans="3:5" x14ac:dyDescent="0.3">
      <c r="C139" s="100" t="s">
        <v>245</v>
      </c>
      <c r="D139" s="95" t="s">
        <v>246</v>
      </c>
      <c r="E139" s="98">
        <v>2.6101610066256353</v>
      </c>
    </row>
    <row r="140" spans="3:5" x14ac:dyDescent="0.3">
      <c r="C140" s="100" t="s">
        <v>247</v>
      </c>
      <c r="D140" s="95" t="s">
        <v>248</v>
      </c>
      <c r="E140" s="98">
        <v>0.6542434212340974</v>
      </c>
    </row>
    <row r="141" spans="3:5" x14ac:dyDescent="0.3">
      <c r="C141" s="100" t="s">
        <v>249</v>
      </c>
      <c r="D141" s="95" t="s">
        <v>250</v>
      </c>
      <c r="E141" s="98">
        <v>1.2931989265281629</v>
      </c>
    </row>
    <row r="142" spans="3:5" x14ac:dyDescent="0.3">
      <c r="C142" s="100" t="s">
        <v>251</v>
      </c>
      <c r="D142" s="95" t="s">
        <v>252</v>
      </c>
      <c r="E142" s="98">
        <v>-7.6658531447352143E-2</v>
      </c>
    </row>
    <row r="143" spans="3:5" x14ac:dyDescent="0.3">
      <c r="C143" s="100" t="s">
        <v>253</v>
      </c>
      <c r="D143" s="95" t="s">
        <v>254</v>
      </c>
      <c r="E143" s="98">
        <v>-0.57704193757879207</v>
      </c>
    </row>
    <row r="144" spans="3:5" x14ac:dyDescent="0.3">
      <c r="C144" s="100" t="s">
        <v>255</v>
      </c>
      <c r="D144" s="95" t="s">
        <v>256</v>
      </c>
      <c r="E144" s="98">
        <v>-0.24201345661015911</v>
      </c>
    </row>
    <row r="145" spans="3:5" x14ac:dyDescent="0.3">
      <c r="C145" s="100" t="s">
        <v>257</v>
      </c>
      <c r="D145" s="95" t="s">
        <v>258</v>
      </c>
      <c r="E145" s="98">
        <v>-0.9248190237809143</v>
      </c>
    </row>
    <row r="146" spans="3:5" x14ac:dyDescent="0.3">
      <c r="C146" s="100" t="s">
        <v>259</v>
      </c>
      <c r="D146" s="95" t="s">
        <v>260</v>
      </c>
      <c r="E146" s="98">
        <v>-0.16832735354574441</v>
      </c>
    </row>
    <row r="147" spans="3:5" x14ac:dyDescent="0.3">
      <c r="C147" s="100" t="s">
        <v>261</v>
      </c>
      <c r="D147" s="95" t="s">
        <v>262</v>
      </c>
      <c r="E147" s="98">
        <v>0.54555958634472412</v>
      </c>
    </row>
    <row r="148" spans="3:5" x14ac:dyDescent="0.3">
      <c r="C148" s="100" t="s">
        <v>263</v>
      </c>
      <c r="D148" s="95" t="s">
        <v>264</v>
      </c>
      <c r="E148" s="98">
        <v>0.86104792290656929</v>
      </c>
    </row>
    <row r="149" spans="3:5" x14ac:dyDescent="0.3">
      <c r="C149" s="100" t="s">
        <v>265</v>
      </c>
      <c r="D149" s="95" t="s">
        <v>266</v>
      </c>
      <c r="E149" s="98">
        <v>-0.29275308035727721</v>
      </c>
    </row>
    <row r="150" spans="3:5" x14ac:dyDescent="0.3">
      <c r="C150" s="100" t="s">
        <v>267</v>
      </c>
      <c r="D150" s="95" t="s">
        <v>268</v>
      </c>
      <c r="E150" s="98">
        <v>0.44511438079819482</v>
      </c>
    </row>
    <row r="151" spans="3:5" x14ac:dyDescent="0.3">
      <c r="C151" s="100" t="s">
        <v>269</v>
      </c>
      <c r="D151" s="95" t="s">
        <v>270</v>
      </c>
      <c r="E151" s="98">
        <v>0.17796209468058627</v>
      </c>
    </row>
    <row r="152" spans="3:5" x14ac:dyDescent="0.3">
      <c r="C152" s="100" t="s">
        <v>271</v>
      </c>
      <c r="D152" s="95" t="s">
        <v>272</v>
      </c>
      <c r="E152" s="98">
        <v>-1.0450110274762818</v>
      </c>
    </row>
    <row r="153" spans="3:5" x14ac:dyDescent="0.3">
      <c r="C153" s="100" t="s">
        <v>273</v>
      </c>
      <c r="D153" s="95" t="s">
        <v>274</v>
      </c>
      <c r="E153" s="98">
        <v>0.51195970687442427</v>
      </c>
    </row>
    <row r="154" spans="3:5" x14ac:dyDescent="0.3">
      <c r="C154" s="100" t="s">
        <v>275</v>
      </c>
      <c r="D154" s="95" t="s">
        <v>276</v>
      </c>
      <c r="E154" s="98">
        <v>1.9138556556158413</v>
      </c>
    </row>
    <row r="155" spans="3:5" x14ac:dyDescent="0.3">
      <c r="C155" s="100" t="s">
        <v>277</v>
      </c>
      <c r="D155" s="95" t="s">
        <v>278</v>
      </c>
      <c r="E155" s="98">
        <v>0.42840154515112783</v>
      </c>
    </row>
    <row r="156" spans="3:5" x14ac:dyDescent="0.3">
      <c r="C156" s="100" t="s">
        <v>279</v>
      </c>
      <c r="D156" s="95" t="s">
        <v>280</v>
      </c>
      <c r="E156" s="98">
        <v>0.75126767538255701</v>
      </c>
    </row>
    <row r="157" spans="3:5" x14ac:dyDescent="0.3">
      <c r="C157" s="100" t="s">
        <v>281</v>
      </c>
      <c r="D157" s="95" t="s">
        <v>282</v>
      </c>
      <c r="E157" s="98">
        <v>3.1312105185676356E-2</v>
      </c>
    </row>
    <row r="158" spans="3:5" x14ac:dyDescent="0.3">
      <c r="C158" s="100" t="s">
        <v>283</v>
      </c>
      <c r="D158" s="95" t="s">
        <v>284</v>
      </c>
      <c r="E158" s="98">
        <v>1.3366819817804714</v>
      </c>
    </row>
    <row r="159" spans="3:5" x14ac:dyDescent="0.3">
      <c r="C159" s="100" t="s">
        <v>285</v>
      </c>
      <c r="D159" s="95" t="s">
        <v>286</v>
      </c>
      <c r="E159" s="98">
        <v>0.76474789327143178</v>
      </c>
    </row>
    <row r="160" spans="3:5" x14ac:dyDescent="0.3">
      <c r="C160" s="100" t="s">
        <v>287</v>
      </c>
      <c r="D160" s="95" t="s">
        <v>288</v>
      </c>
      <c r="E160" s="98">
        <v>2.4601409974239044</v>
      </c>
    </row>
    <row r="161" spans="3:5" x14ac:dyDescent="0.3">
      <c r="C161" s="100" t="s">
        <v>289</v>
      </c>
      <c r="D161" s="95" t="s">
        <v>290</v>
      </c>
      <c r="E161" s="98">
        <v>0.68262116652228355</v>
      </c>
    </row>
    <row r="162" spans="3:5" x14ac:dyDescent="0.3">
      <c r="C162" s="100" t="s">
        <v>291</v>
      </c>
      <c r="D162" s="95" t="s">
        <v>292</v>
      </c>
      <c r="E162" s="98">
        <v>-1.1167829972422731</v>
      </c>
    </row>
    <row r="163" spans="3:5" x14ac:dyDescent="0.3">
      <c r="C163" s="100" t="s">
        <v>293</v>
      </c>
      <c r="D163" s="95" t="s">
        <v>294</v>
      </c>
      <c r="E163" s="98">
        <v>-1.4031137072629398</v>
      </c>
    </row>
    <row r="164" spans="3:5" x14ac:dyDescent="0.3">
      <c r="C164" s="100" t="s">
        <v>295</v>
      </c>
      <c r="D164" s="95" t="s">
        <v>296</v>
      </c>
      <c r="E164" s="98">
        <v>0.79024011458294985</v>
      </c>
    </row>
    <row r="165" spans="3:5" x14ac:dyDescent="0.3">
      <c r="C165" s="100" t="s">
        <v>297</v>
      </c>
      <c r="D165" s="95" t="s">
        <v>298</v>
      </c>
      <c r="E165" s="98">
        <v>-0.64504008243106481</v>
      </c>
    </row>
    <row r="166" spans="3:5" x14ac:dyDescent="0.3">
      <c r="C166" s="100" t="s">
        <v>299</v>
      </c>
      <c r="D166" s="95" t="s">
        <v>300</v>
      </c>
      <c r="E166" s="98">
        <v>-0.22618527171530106</v>
      </c>
    </row>
    <row r="167" spans="3:5" x14ac:dyDescent="0.3">
      <c r="C167" s="100" t="s">
        <v>301</v>
      </c>
      <c r="D167" s="95" t="s">
        <v>302</v>
      </c>
      <c r="E167" s="98">
        <v>2.9793702586202717</v>
      </c>
    </row>
    <row r="168" spans="3:5" x14ac:dyDescent="0.3">
      <c r="C168" s="100" t="s">
        <v>303</v>
      </c>
      <c r="D168" s="95" t="s">
        <v>304</v>
      </c>
      <c r="E168" s="98">
        <v>-0.86667289071329456</v>
      </c>
    </row>
    <row r="169" spans="3:5" x14ac:dyDescent="0.3">
      <c r="C169" s="100" t="s">
        <v>305</v>
      </c>
      <c r="D169" s="95" t="s">
        <v>306</v>
      </c>
      <c r="E169" s="98">
        <v>-3.9396333223514342</v>
      </c>
    </row>
    <row r="170" spans="3:5" x14ac:dyDescent="0.3">
      <c r="C170" s="100" t="s">
        <v>307</v>
      </c>
      <c r="D170" s="95" t="s">
        <v>308</v>
      </c>
      <c r="E170" s="98">
        <v>-0.58485725027332136</v>
      </c>
    </row>
    <row r="171" spans="3:5" x14ac:dyDescent="0.3">
      <c r="C171" s="100" t="s">
        <v>309</v>
      </c>
      <c r="D171" s="95" t="s">
        <v>310</v>
      </c>
      <c r="E171" s="98">
        <v>-1.725405905134108</v>
      </c>
    </row>
    <row r="172" spans="3:5" x14ac:dyDescent="0.3">
      <c r="C172" s="100" t="s">
        <v>311</v>
      </c>
      <c r="D172" s="95" t="s">
        <v>312</v>
      </c>
      <c r="E172" s="98">
        <v>-7.4646816668279312E-2</v>
      </c>
    </row>
    <row r="173" spans="3:5" x14ac:dyDescent="0.3">
      <c r="C173" s="100" t="s">
        <v>313</v>
      </c>
      <c r="D173" s="95" t="s">
        <v>314</v>
      </c>
      <c r="E173" s="98">
        <v>-0.56344721963473121</v>
      </c>
    </row>
    <row r="174" spans="3:5" x14ac:dyDescent="0.3">
      <c r="C174" s="100" t="s">
        <v>315</v>
      </c>
      <c r="D174" s="95" t="s">
        <v>316</v>
      </c>
      <c r="E174" s="98">
        <v>-0.35937582994949602</v>
      </c>
    </row>
    <row r="175" spans="3:5" x14ac:dyDescent="0.3">
      <c r="C175" s="100" t="s">
        <v>317</v>
      </c>
      <c r="D175" s="95" t="s">
        <v>318</v>
      </c>
      <c r="E175" s="98">
        <v>-1.0263262453835438</v>
      </c>
    </row>
    <row r="176" spans="3:5" x14ac:dyDescent="0.3">
      <c r="C176" s="100" t="s">
        <v>319</v>
      </c>
      <c r="D176" s="95" t="s">
        <v>320</v>
      </c>
      <c r="E176" s="98">
        <v>-0.24903571955802778</v>
      </c>
    </row>
    <row r="177" spans="3:5" x14ac:dyDescent="0.3">
      <c r="C177" s="100" t="s">
        <v>321</v>
      </c>
      <c r="D177" s="95" t="s">
        <v>322</v>
      </c>
      <c r="E177" s="98">
        <v>0.4998223927018825</v>
      </c>
    </row>
    <row r="178" spans="3:5" x14ac:dyDescent="0.3">
      <c r="C178" s="100" t="s">
        <v>323</v>
      </c>
      <c r="D178" s="95" t="s">
        <v>324</v>
      </c>
      <c r="E178" s="98">
        <v>0.65490464165970907</v>
      </c>
    </row>
    <row r="179" spans="3:5" x14ac:dyDescent="0.3">
      <c r="C179" s="100" t="s">
        <v>325</v>
      </c>
      <c r="D179" s="95" t="s">
        <v>326</v>
      </c>
      <c r="E179" s="98">
        <v>-0.30168976886178073</v>
      </c>
    </row>
    <row r="180" spans="3:5" x14ac:dyDescent="0.3">
      <c r="C180" s="100" t="s">
        <v>327</v>
      </c>
      <c r="D180" s="95" t="s">
        <v>328</v>
      </c>
      <c r="E180" s="98">
        <v>0.21892455495643959</v>
      </c>
    </row>
    <row r="181" spans="3:5" x14ac:dyDescent="0.3">
      <c r="C181" s="100" t="s">
        <v>329</v>
      </c>
      <c r="D181" s="95" t="s">
        <v>330</v>
      </c>
      <c r="E181" s="98">
        <v>0.19316030839414972</v>
      </c>
    </row>
    <row r="182" spans="3:5" x14ac:dyDescent="0.3">
      <c r="C182" s="100" t="s">
        <v>331</v>
      </c>
      <c r="D182" s="95" t="s">
        <v>332</v>
      </c>
      <c r="E182" s="98">
        <v>-1.4408903486553852</v>
      </c>
    </row>
    <row r="183" spans="3:5" x14ac:dyDescent="0.3">
      <c r="C183" s="100" t="s">
        <v>333</v>
      </c>
      <c r="D183" s="95" t="s">
        <v>334</v>
      </c>
      <c r="E183" s="98">
        <v>0.39685074537706738</v>
      </c>
    </row>
    <row r="184" spans="3:5" x14ac:dyDescent="0.3">
      <c r="C184" s="100" t="s">
        <v>335</v>
      </c>
      <c r="D184" s="95" t="s">
        <v>336</v>
      </c>
      <c r="E184" s="98">
        <v>1.5751336172833965</v>
      </c>
    </row>
    <row r="185" spans="3:5" x14ac:dyDescent="0.3">
      <c r="C185" s="100" t="s">
        <v>337</v>
      </c>
      <c r="D185" s="95" t="s">
        <v>338</v>
      </c>
      <c r="E185" s="98">
        <v>0.238475017921459</v>
      </c>
    </row>
    <row r="186" spans="3:5" x14ac:dyDescent="0.3">
      <c r="C186" s="100" t="s">
        <v>339</v>
      </c>
      <c r="D186" s="95" t="s">
        <v>340</v>
      </c>
      <c r="E186" s="98">
        <v>0.85381255766830622</v>
      </c>
    </row>
    <row r="187" spans="3:5" x14ac:dyDescent="0.3">
      <c r="C187" s="100" t="s">
        <v>341</v>
      </c>
      <c r="D187" s="95" t="s">
        <v>342</v>
      </c>
      <c r="E187" s="98">
        <v>-7.7342189270269424E-2</v>
      </c>
    </row>
    <row r="188" spans="3:5" x14ac:dyDescent="0.3">
      <c r="C188" s="100" t="s">
        <v>343</v>
      </c>
      <c r="D188" s="95" t="s">
        <v>344</v>
      </c>
      <c r="E188" s="98">
        <v>-0.58777305952374881</v>
      </c>
    </row>
    <row r="189" spans="3:5" x14ac:dyDescent="0.3">
      <c r="C189" s="100" t="s">
        <v>345</v>
      </c>
      <c r="D189" s="95" t="s">
        <v>346</v>
      </c>
      <c r="E189" s="98">
        <v>-0.18192224974911347</v>
      </c>
    </row>
    <row r="190" spans="3:5" x14ac:dyDescent="0.3">
      <c r="C190" s="100" t="s">
        <v>347</v>
      </c>
      <c r="D190" s="95" t="s">
        <v>348</v>
      </c>
      <c r="E190" s="98">
        <v>-0.9947724819916749</v>
      </c>
    </row>
    <row r="191" spans="3:5" x14ac:dyDescent="0.3">
      <c r="C191" s="100" t="s">
        <v>349</v>
      </c>
      <c r="D191" s="95" t="s">
        <v>350</v>
      </c>
      <c r="E191" s="98">
        <v>-0.17505584176718059</v>
      </c>
    </row>
    <row r="192" spans="3:5" x14ac:dyDescent="0.3">
      <c r="C192" s="100" t="s">
        <v>351</v>
      </c>
      <c r="D192" s="95" t="s">
        <v>352</v>
      </c>
      <c r="E192" s="98">
        <v>0.57737429221992254</v>
      </c>
    </row>
    <row r="193" spans="3:5" x14ac:dyDescent="0.3">
      <c r="C193" s="100" t="s">
        <v>353</v>
      </c>
      <c r="D193" s="95" t="s">
        <v>354</v>
      </c>
      <c r="E193" s="98">
        <v>0.91034382834954586</v>
      </c>
    </row>
    <row r="194" spans="3:5" x14ac:dyDescent="0.3">
      <c r="C194" s="100" t="s">
        <v>355</v>
      </c>
      <c r="D194" s="95" t="s">
        <v>356</v>
      </c>
      <c r="E194" s="98">
        <v>-0.27100337889919773</v>
      </c>
    </row>
    <row r="195" spans="3:5" x14ac:dyDescent="0.3">
      <c r="C195" s="100" t="s">
        <v>357</v>
      </c>
      <c r="D195" s="95" t="s">
        <v>358</v>
      </c>
      <c r="E195" s="98">
        <v>0.46310548262152607</v>
      </c>
    </row>
    <row r="196" spans="3:5" x14ac:dyDescent="0.3">
      <c r="C196" s="100" t="s">
        <v>359</v>
      </c>
      <c r="D196" s="95" t="s">
        <v>360</v>
      </c>
      <c r="E196" s="98">
        <v>0.25652339072256986</v>
      </c>
    </row>
    <row r="197" spans="3:5" x14ac:dyDescent="0.3">
      <c r="C197" s="100" t="s">
        <v>361</v>
      </c>
      <c r="D197" s="95" t="s">
        <v>362</v>
      </c>
      <c r="E197" s="98">
        <v>-1.2180058021595839</v>
      </c>
    </row>
    <row r="198" spans="3:5" x14ac:dyDescent="0.3">
      <c r="C198" s="100" t="s">
        <v>363</v>
      </c>
      <c r="D198" s="95" t="s">
        <v>364</v>
      </c>
      <c r="E198" s="98">
        <v>0.54926183156920672</v>
      </c>
    </row>
    <row r="199" spans="3:5" x14ac:dyDescent="0.3">
      <c r="C199" s="100" t="s">
        <v>365</v>
      </c>
      <c r="D199" s="95" t="s">
        <v>366</v>
      </c>
      <c r="E199" s="98">
        <v>1.8343433543676397</v>
      </c>
    </row>
    <row r="200" spans="3:5" x14ac:dyDescent="0.3">
      <c r="C200" s="100" t="s">
        <v>367</v>
      </c>
      <c r="D200" s="95" t="s">
        <v>368</v>
      </c>
      <c r="E200" s="98">
        <v>0.38084944568239532</v>
      </c>
    </row>
    <row r="201" spans="3:5" x14ac:dyDescent="0.3">
      <c r="C201" s="100" t="s">
        <v>369</v>
      </c>
      <c r="D201" s="95" t="s">
        <v>370</v>
      </c>
      <c r="E201" s="98">
        <v>0.89637015112939533</v>
      </c>
    </row>
    <row r="202" spans="3:5" x14ac:dyDescent="0.3">
      <c r="C202" s="100" t="s">
        <v>371</v>
      </c>
      <c r="D202" s="95" t="s">
        <v>372</v>
      </c>
      <c r="E202" s="98">
        <v>-8.9856985687554833E-2</v>
      </c>
    </row>
    <row r="203" spans="3:5" x14ac:dyDescent="0.3">
      <c r="C203" s="100" t="s">
        <v>373</v>
      </c>
      <c r="D203" s="95" t="s">
        <v>374</v>
      </c>
      <c r="E203" s="98">
        <v>-1.1000565931906989</v>
      </c>
    </row>
    <row r="204" spans="3:5" x14ac:dyDescent="0.3">
      <c r="C204" s="100" t="s">
        <v>375</v>
      </c>
      <c r="D204" s="95" t="s">
        <v>376</v>
      </c>
      <c r="E204" s="98">
        <v>-0.5240696811985992</v>
      </c>
    </row>
    <row r="205" spans="3:5" x14ac:dyDescent="0.3">
      <c r="C205" s="100" t="s">
        <v>377</v>
      </c>
      <c r="D205" s="95" t="s">
        <v>378</v>
      </c>
      <c r="E205" s="98">
        <v>-1.918448457011352</v>
      </c>
    </row>
    <row r="206" spans="3:5" x14ac:dyDescent="0.3">
      <c r="C206" s="100" t="s">
        <v>379</v>
      </c>
      <c r="D206" s="95" t="s">
        <v>380</v>
      </c>
      <c r="E206" s="98">
        <v>-0.52342232712013859</v>
      </c>
    </row>
    <row r="207" spans="3:5" x14ac:dyDescent="0.3">
      <c r="C207" s="100" t="s">
        <v>381</v>
      </c>
      <c r="D207" s="95" t="s">
        <v>382</v>
      </c>
      <c r="E207" s="98">
        <v>0.81823805483486423</v>
      </c>
    </row>
    <row r="208" spans="3:5" x14ac:dyDescent="0.3">
      <c r="C208" s="100" t="s">
        <v>383</v>
      </c>
      <c r="D208" s="95" t="s">
        <v>384</v>
      </c>
      <c r="E208" s="98">
        <v>1.0706024285738316</v>
      </c>
    </row>
    <row r="209" spans="3:5" x14ac:dyDescent="0.3">
      <c r="C209" s="100" t="s">
        <v>385</v>
      </c>
      <c r="D209" s="95" t="s">
        <v>386</v>
      </c>
      <c r="E209" s="98">
        <v>-0.68033229486267965</v>
      </c>
    </row>
    <row r="210" spans="3:5" x14ac:dyDescent="0.3">
      <c r="C210" s="100" t="s">
        <v>387</v>
      </c>
      <c r="D210" s="95" t="s">
        <v>388</v>
      </c>
      <c r="E210" s="98">
        <v>0.46064114933030026</v>
      </c>
    </row>
    <row r="211" spans="3:5" x14ac:dyDescent="0.3">
      <c r="C211" s="100" t="s">
        <v>389</v>
      </c>
      <c r="D211" s="95" t="s">
        <v>390</v>
      </c>
      <c r="E211" s="98">
        <v>0.14018652564432904</v>
      </c>
    </row>
    <row r="212" spans="3:5" x14ac:dyDescent="0.3">
      <c r="C212" s="100" t="s">
        <v>391</v>
      </c>
      <c r="D212" s="95" t="s">
        <v>392</v>
      </c>
      <c r="E212" s="98">
        <v>-2.4247955710893256</v>
      </c>
    </row>
    <row r="213" spans="3:5" x14ac:dyDescent="0.3">
      <c r="C213" s="100" t="s">
        <v>393</v>
      </c>
      <c r="D213" s="95" t="s">
        <v>394</v>
      </c>
      <c r="E213" s="98">
        <v>0.63146864725074092</v>
      </c>
    </row>
    <row r="214" spans="3:5" x14ac:dyDescent="0.3">
      <c r="C214" s="100" t="s">
        <v>395</v>
      </c>
      <c r="D214" s="95" t="s">
        <v>396</v>
      </c>
      <c r="E214" s="98">
        <v>2.7509304593717041</v>
      </c>
    </row>
    <row r="215" spans="3:5" x14ac:dyDescent="0.3">
      <c r="C215" s="100" t="s">
        <v>397</v>
      </c>
      <c r="D215" s="95" t="s">
        <v>398</v>
      </c>
      <c r="E215" s="98">
        <v>0.39274975238719567</v>
      </c>
    </row>
    <row r="216" spans="3:5" x14ac:dyDescent="0.3">
      <c r="C216" s="100" t="s">
        <v>399</v>
      </c>
      <c r="D216" s="95" t="s">
        <v>400</v>
      </c>
      <c r="E216" s="98">
        <v>1.3417430008431706</v>
      </c>
    </row>
    <row r="217" spans="3:5" x14ac:dyDescent="0.3">
      <c r="C217" s="100" t="s">
        <v>401</v>
      </c>
      <c r="D217" s="95" t="s">
        <v>402</v>
      </c>
      <c r="E217" s="98">
        <v>-6.4643135926159889E-2</v>
      </c>
    </row>
    <row r="218" spans="3:5" x14ac:dyDescent="0.3">
      <c r="C218" s="100" t="s">
        <v>403</v>
      </c>
      <c r="D218" s="95" t="s">
        <v>404</v>
      </c>
      <c r="E218" s="98">
        <v>-1.2052204196978722</v>
      </c>
    </row>
    <row r="219" spans="3:5" x14ac:dyDescent="0.3">
      <c r="C219" s="100" t="s">
        <v>405</v>
      </c>
      <c r="D219" s="95" t="s">
        <v>406</v>
      </c>
      <c r="E219" s="98">
        <v>-0.85444422856725744</v>
      </c>
    </row>
    <row r="220" spans="3:5" x14ac:dyDescent="0.3">
      <c r="C220" s="100" t="s">
        <v>407</v>
      </c>
      <c r="D220" s="95" t="s">
        <v>408</v>
      </c>
      <c r="E220" s="98">
        <v>-2.0189605290308048</v>
      </c>
    </row>
    <row r="221" spans="3:5" x14ac:dyDescent="0.3">
      <c r="C221" s="100" t="s">
        <v>409</v>
      </c>
      <c r="D221" s="95" t="s">
        <v>410</v>
      </c>
      <c r="E221" s="98">
        <v>-0.79601209749797286</v>
      </c>
    </row>
    <row r="222" spans="3:5" x14ac:dyDescent="0.3">
      <c r="C222" s="100" t="s">
        <v>411</v>
      </c>
      <c r="D222" s="95" t="s">
        <v>412</v>
      </c>
      <c r="E222" s="98">
        <v>0.41982047104633291</v>
      </c>
    </row>
    <row r="223" spans="3:5" x14ac:dyDescent="0.3">
      <c r="C223" s="100" t="s">
        <v>413</v>
      </c>
      <c r="D223" s="95" t="s">
        <v>414</v>
      </c>
      <c r="E223" s="98">
        <v>0.78796869271031811</v>
      </c>
    </row>
    <row r="224" spans="3:5" x14ac:dyDescent="0.3">
      <c r="C224" s="100" t="s">
        <v>415</v>
      </c>
      <c r="D224" s="95" t="s">
        <v>416</v>
      </c>
      <c r="E224" s="98">
        <v>-0.7909588801533588</v>
      </c>
    </row>
    <row r="225" spans="3:5" x14ac:dyDescent="0.3">
      <c r="C225" s="100" t="s">
        <v>417</v>
      </c>
      <c r="D225" s="95" t="s">
        <v>418</v>
      </c>
      <c r="E225" s="98">
        <v>0.20402905985288095</v>
      </c>
    </row>
    <row r="226" spans="3:5" x14ac:dyDescent="0.3">
      <c r="C226" s="100" t="s">
        <v>419</v>
      </c>
      <c r="D226" s="95" t="s">
        <v>420</v>
      </c>
      <c r="E226" s="98">
        <v>-0.12402965634423437</v>
      </c>
    </row>
    <row r="227" spans="3:5" x14ac:dyDescent="0.3">
      <c r="C227" s="100" t="s">
        <v>421</v>
      </c>
      <c r="D227" s="95" t="s">
        <v>422</v>
      </c>
      <c r="E227" s="98">
        <v>-2.4549563666629814</v>
      </c>
    </row>
    <row r="228" spans="3:5" x14ac:dyDescent="0.3">
      <c r="C228" s="100" t="s">
        <v>423</v>
      </c>
      <c r="D228" s="95" t="s">
        <v>424</v>
      </c>
      <c r="E228" s="98">
        <v>0.28635995701770162</v>
      </c>
    </row>
    <row r="229" spans="3:5" x14ac:dyDescent="0.3">
      <c r="C229" s="100" t="s">
        <v>425</v>
      </c>
      <c r="D229" s="95" t="s">
        <v>426</v>
      </c>
      <c r="E229" s="98">
        <v>2.7560876582655611</v>
      </c>
    </row>
    <row r="230" spans="3:5" x14ac:dyDescent="0.3">
      <c r="C230" s="100" t="s">
        <v>427</v>
      </c>
      <c r="D230" s="95" t="s">
        <v>428</v>
      </c>
      <c r="E230" s="98">
        <v>0.14498464668317718</v>
      </c>
    </row>
    <row r="231" spans="3:5" x14ac:dyDescent="0.3">
      <c r="C231" s="100" t="s">
        <v>429</v>
      </c>
      <c r="D231" s="95" t="s">
        <v>430</v>
      </c>
      <c r="E231" s="98">
        <v>0.99776100075386831</v>
      </c>
    </row>
    <row r="232" spans="3:5" x14ac:dyDescent="0.3">
      <c r="C232" s="100" t="s">
        <v>431</v>
      </c>
      <c r="D232" s="95" t="s">
        <v>432</v>
      </c>
      <c r="E232" s="98">
        <v>3.5988352023024698E-4</v>
      </c>
    </row>
    <row r="233" spans="3:5" x14ac:dyDescent="0.3">
      <c r="C233" s="100" t="s">
        <v>433</v>
      </c>
      <c r="D233" s="95" t="s">
        <v>434</v>
      </c>
      <c r="E233" s="98">
        <v>0.77645190391250252</v>
      </c>
    </row>
    <row r="234" spans="3:5" x14ac:dyDescent="0.3">
      <c r="C234" s="100" t="s">
        <v>435</v>
      </c>
      <c r="D234" s="95" t="s">
        <v>436</v>
      </c>
      <c r="E234" s="98">
        <v>0.5024942141149511</v>
      </c>
    </row>
    <row r="235" spans="3:5" x14ac:dyDescent="0.3">
      <c r="C235" s="100" t="s">
        <v>437</v>
      </c>
      <c r="D235" s="95" t="s">
        <v>438</v>
      </c>
      <c r="E235" s="98">
        <v>1.3588942480981479</v>
      </c>
    </row>
    <row r="236" spans="3:5" x14ac:dyDescent="0.3">
      <c r="C236" s="100" t="s">
        <v>439</v>
      </c>
      <c r="D236" s="95" t="s">
        <v>440</v>
      </c>
      <c r="E236" s="98">
        <v>0.41844788156602203</v>
      </c>
    </row>
    <row r="237" spans="3:5" x14ac:dyDescent="0.3">
      <c r="C237" s="100" t="s">
        <v>441</v>
      </c>
      <c r="D237" s="95" t="s">
        <v>442</v>
      </c>
      <c r="E237" s="98">
        <v>-0.39714025258276903</v>
      </c>
    </row>
    <row r="238" spans="3:5" x14ac:dyDescent="0.3">
      <c r="C238" s="100" t="s">
        <v>443</v>
      </c>
      <c r="D238" s="95" t="s">
        <v>444</v>
      </c>
      <c r="E238" s="98">
        <v>-0.57893262842138293</v>
      </c>
    </row>
    <row r="239" spans="3:5" x14ac:dyDescent="0.3">
      <c r="C239" s="100" t="s">
        <v>445</v>
      </c>
      <c r="D239" s="95" t="s">
        <v>446</v>
      </c>
      <c r="E239" s="98">
        <v>0.52124954104006216</v>
      </c>
    </row>
    <row r="240" spans="3:5" x14ac:dyDescent="0.3">
      <c r="C240" s="100" t="s">
        <v>447</v>
      </c>
      <c r="D240" s="95" t="s">
        <v>448</v>
      </c>
      <c r="E240" s="98">
        <v>-0.18354856371235312</v>
      </c>
    </row>
    <row r="241" spans="3:5" x14ac:dyDescent="0.3">
      <c r="C241" s="100" t="s">
        <v>449</v>
      </c>
      <c r="D241" s="95" t="s">
        <v>450</v>
      </c>
      <c r="E241" s="98">
        <v>-5.5884998737976699E-3</v>
      </c>
    </row>
    <row r="242" spans="3:5" x14ac:dyDescent="0.3">
      <c r="C242" s="100" t="s">
        <v>451</v>
      </c>
      <c r="D242" s="95" t="s">
        <v>452</v>
      </c>
      <c r="E242" s="98">
        <v>1.6985461330714284</v>
      </c>
    </row>
    <row r="243" spans="3:5" x14ac:dyDescent="0.3">
      <c r="C243" s="100" t="s">
        <v>453</v>
      </c>
      <c r="D243" s="95" t="s">
        <v>454</v>
      </c>
      <c r="E243" s="98">
        <v>-0.2475090815085097</v>
      </c>
    </row>
    <row r="244" spans="3:5" x14ac:dyDescent="0.3">
      <c r="C244" s="100" t="s">
        <v>455</v>
      </c>
      <c r="D244" s="95" t="s">
        <v>456</v>
      </c>
      <c r="E244" s="98">
        <v>-1.7556688531604354</v>
      </c>
    </row>
    <row r="245" spans="3:5" x14ac:dyDescent="0.3">
      <c r="C245" s="100" t="s">
        <v>457</v>
      </c>
      <c r="D245" s="95" t="s">
        <v>458</v>
      </c>
      <c r="E245" s="98">
        <v>-0.10835147203198184</v>
      </c>
    </row>
    <row r="246" spans="3:5" x14ac:dyDescent="0.3">
      <c r="C246" s="100" t="s">
        <v>459</v>
      </c>
      <c r="D246" s="95" t="s">
        <v>460</v>
      </c>
      <c r="E246" s="98">
        <v>-0.76499504465277179</v>
      </c>
    </row>
    <row r="247" spans="3:5" x14ac:dyDescent="0.3">
      <c r="C247" s="100" t="s">
        <v>461</v>
      </c>
      <c r="D247" s="95" t="s">
        <v>462</v>
      </c>
      <c r="E247" s="98">
        <v>0.12422975461991714</v>
      </c>
    </row>
    <row r="248" spans="3:5" x14ac:dyDescent="0.3">
      <c r="C248" s="100" t="s">
        <v>463</v>
      </c>
      <c r="D248" s="95" t="s">
        <v>464</v>
      </c>
      <c r="E248" s="98">
        <v>1.7729333399286795</v>
      </c>
    </row>
    <row r="249" spans="3:5" x14ac:dyDescent="0.3">
      <c r="C249" s="100" t="s">
        <v>465</v>
      </c>
      <c r="D249" s="95" t="s">
        <v>466</v>
      </c>
      <c r="E249" s="98">
        <v>1.1016678248718965</v>
      </c>
    </row>
    <row r="250" spans="3:5" x14ac:dyDescent="0.3">
      <c r="C250" s="100" t="s">
        <v>467</v>
      </c>
      <c r="D250" s="95" t="s">
        <v>468</v>
      </c>
      <c r="E250" s="98">
        <v>2.9665102701918324</v>
      </c>
    </row>
    <row r="251" spans="3:5" x14ac:dyDescent="0.3">
      <c r="C251" s="100" t="s">
        <v>469</v>
      </c>
      <c r="D251" s="95" t="s">
        <v>470</v>
      </c>
      <c r="E251" s="98">
        <v>1.0801157883720649</v>
      </c>
    </row>
    <row r="252" spans="3:5" x14ac:dyDescent="0.3">
      <c r="C252" s="100" t="s">
        <v>471</v>
      </c>
      <c r="D252" s="95" t="s">
        <v>472</v>
      </c>
      <c r="E252" s="98">
        <v>-0.89094638949677418</v>
      </c>
    </row>
    <row r="253" spans="3:5" x14ac:dyDescent="0.3">
      <c r="C253" s="100" t="s">
        <v>473</v>
      </c>
      <c r="D253" s="95" t="s">
        <v>474</v>
      </c>
      <c r="E253" s="98">
        <v>-1.3177755797612249</v>
      </c>
    </row>
    <row r="254" spans="3:5" x14ac:dyDescent="0.3">
      <c r="C254" s="100" t="s">
        <v>475</v>
      </c>
      <c r="D254" s="95" t="s">
        <v>476</v>
      </c>
      <c r="E254" s="98">
        <v>1.2000983485172452</v>
      </c>
    </row>
    <row r="255" spans="3:5" x14ac:dyDescent="0.3">
      <c r="C255" s="100" t="s">
        <v>477</v>
      </c>
      <c r="D255" s="95" t="s">
        <v>478</v>
      </c>
      <c r="E255" s="98">
        <v>-0.41183905120708292</v>
      </c>
    </row>
    <row r="256" spans="3:5" x14ac:dyDescent="0.3">
      <c r="C256" s="100" t="s">
        <v>479</v>
      </c>
      <c r="D256" s="95" t="s">
        <v>480</v>
      </c>
      <c r="E256" s="98">
        <v>0.10729358376813809</v>
      </c>
    </row>
    <row r="257" spans="3:5" x14ac:dyDescent="0.3">
      <c r="C257" s="100" t="s">
        <v>481</v>
      </c>
      <c r="D257" s="95" t="s">
        <v>482</v>
      </c>
      <c r="E257" s="98">
        <v>3.4333346023060423</v>
      </c>
    </row>
    <row r="258" spans="3:5" x14ac:dyDescent="0.3">
      <c r="C258" s="100" t="s">
        <v>483</v>
      </c>
      <c r="D258" s="95" t="s">
        <v>484</v>
      </c>
      <c r="E258" s="98">
        <v>-0.5817063452430089</v>
      </c>
    </row>
    <row r="259" spans="3:5" x14ac:dyDescent="0.3">
      <c r="C259" s="100" t="s">
        <v>485</v>
      </c>
      <c r="D259" s="95" t="s">
        <v>486</v>
      </c>
      <c r="E259" s="98">
        <v>-3.995457937834674</v>
      </c>
    </row>
    <row r="260" spans="3:5" x14ac:dyDescent="0.3">
      <c r="C260" s="100" t="s">
        <v>487</v>
      </c>
      <c r="D260" s="95" t="s">
        <v>488</v>
      </c>
      <c r="E260" s="98">
        <v>-0.2941456748697352</v>
      </c>
    </row>
    <row r="261" spans="3:5" x14ac:dyDescent="0.3">
      <c r="C261" s="100" t="s">
        <v>489</v>
      </c>
      <c r="D261" s="95" t="s">
        <v>490</v>
      </c>
      <c r="E261" s="98">
        <v>-1.4838736265232446</v>
      </c>
    </row>
    <row r="262" spans="3:5" x14ac:dyDescent="0.3">
      <c r="C262" s="100" t="s">
        <v>491</v>
      </c>
      <c r="D262" s="95" t="s">
        <v>492</v>
      </c>
      <c r="E262" s="98">
        <v>0.12595560977965259</v>
      </c>
    </row>
    <row r="263" spans="3:5" x14ac:dyDescent="0.3">
      <c r="C263" s="100" t="s">
        <v>493</v>
      </c>
      <c r="D263" s="95" t="s">
        <v>494</v>
      </c>
      <c r="E263" s="98">
        <v>1.1293727082647524</v>
      </c>
    </row>
    <row r="264" spans="3:5" x14ac:dyDescent="0.3">
      <c r="C264" s="100" t="s">
        <v>495</v>
      </c>
      <c r="D264" s="95" t="s">
        <v>496</v>
      </c>
      <c r="E264" s="98">
        <v>0.50174999487050043</v>
      </c>
    </row>
    <row r="265" spans="3:5" x14ac:dyDescent="0.3">
      <c r="C265" s="100" t="s">
        <v>497</v>
      </c>
      <c r="D265" s="95" t="s">
        <v>498</v>
      </c>
      <c r="E265" s="98">
        <v>1.9510645714049952</v>
      </c>
    </row>
    <row r="266" spans="3:5" x14ac:dyDescent="0.3">
      <c r="C266" s="100" t="s">
        <v>499</v>
      </c>
      <c r="D266" s="95" t="s">
        <v>500</v>
      </c>
      <c r="E266" s="98">
        <v>0.49847457273494727</v>
      </c>
    </row>
    <row r="267" spans="3:5" x14ac:dyDescent="0.3">
      <c r="C267" s="100" t="s">
        <v>501</v>
      </c>
      <c r="D267" s="95" t="s">
        <v>502</v>
      </c>
      <c r="E267" s="98">
        <v>-0.76154786439993416</v>
      </c>
    </row>
    <row r="268" spans="3:5" x14ac:dyDescent="0.3">
      <c r="C268" s="100" t="s">
        <v>503</v>
      </c>
      <c r="D268" s="95" t="s">
        <v>504</v>
      </c>
      <c r="E268" s="98">
        <v>-1.0180888405842397</v>
      </c>
    </row>
    <row r="269" spans="3:5" x14ac:dyDescent="0.3">
      <c r="C269" s="100" t="s">
        <v>505</v>
      </c>
      <c r="D269" s="95" t="s">
        <v>506</v>
      </c>
      <c r="E269" s="98">
        <v>0.77866225339573081</v>
      </c>
    </row>
    <row r="270" spans="3:5" x14ac:dyDescent="0.3">
      <c r="C270" s="100" t="s">
        <v>507</v>
      </c>
      <c r="D270" s="95" t="s">
        <v>508</v>
      </c>
      <c r="E270" s="98">
        <v>-0.38279342422564</v>
      </c>
    </row>
    <row r="271" spans="3:5" x14ac:dyDescent="0.3">
      <c r="C271" s="100" t="s">
        <v>509</v>
      </c>
      <c r="D271" s="95" t="s">
        <v>510</v>
      </c>
      <c r="E271" s="98">
        <v>-0.14891265319885019</v>
      </c>
    </row>
    <row r="272" spans="3:5" x14ac:dyDescent="0.3">
      <c r="C272" s="100" t="s">
        <v>511</v>
      </c>
      <c r="D272" s="95" t="s">
        <v>512</v>
      </c>
      <c r="E272" s="98">
        <v>2.4860332672064946</v>
      </c>
    </row>
    <row r="273" spans="3:5" x14ac:dyDescent="0.3">
      <c r="C273" s="100" t="s">
        <v>513</v>
      </c>
      <c r="D273" s="95" t="s">
        <v>514</v>
      </c>
      <c r="E273" s="98">
        <v>-0.63476321686880044</v>
      </c>
    </row>
    <row r="274" spans="3:5" x14ac:dyDescent="0.3">
      <c r="C274" s="100" t="s">
        <v>515</v>
      </c>
      <c r="D274" s="95" t="s">
        <v>516</v>
      </c>
      <c r="E274" s="98">
        <v>-2.5435858095024848</v>
      </c>
    </row>
    <row r="275" spans="3:5" x14ac:dyDescent="0.3">
      <c r="C275" s="100" t="s">
        <v>517</v>
      </c>
      <c r="D275" s="95" t="s">
        <v>518</v>
      </c>
      <c r="E275" s="98">
        <v>-0.36375040121606905</v>
      </c>
    </row>
    <row r="276" spans="3:5" x14ac:dyDescent="0.3">
      <c r="C276" s="100" t="s">
        <v>519</v>
      </c>
      <c r="D276" s="95" t="s">
        <v>520</v>
      </c>
      <c r="E276" s="98">
        <v>-1.3428833280779526</v>
      </c>
    </row>
    <row r="277" spans="3:5" x14ac:dyDescent="0.3">
      <c r="C277" s="100" t="s">
        <v>521</v>
      </c>
      <c r="D277" s="95" t="s">
        <v>522</v>
      </c>
      <c r="E277" s="98">
        <v>7.3869585639444207E-2</v>
      </c>
    </row>
    <row r="278" spans="3:5" x14ac:dyDescent="0.3">
      <c r="C278" s="100" t="s">
        <v>523</v>
      </c>
      <c r="D278" s="95" t="s">
        <v>524</v>
      </c>
      <c r="E278" s="98">
        <v>0.19598051973253558</v>
      </c>
    </row>
    <row r="279" spans="3:5" x14ac:dyDescent="0.3">
      <c r="C279" s="100" t="s">
        <v>525</v>
      </c>
      <c r="D279" s="95" t="s">
        <v>526</v>
      </c>
      <c r="E279" s="98">
        <v>-0.27236327877473199</v>
      </c>
    </row>
    <row r="280" spans="3:5" x14ac:dyDescent="0.3">
      <c r="C280" s="100" t="s">
        <v>527</v>
      </c>
      <c r="D280" s="95" t="s">
        <v>528</v>
      </c>
      <c r="E280" s="98">
        <v>0.48414732697152874</v>
      </c>
    </row>
    <row r="281" spans="3:5" x14ac:dyDescent="0.3">
      <c r="C281" s="100" t="s">
        <v>529</v>
      </c>
      <c r="D281" s="95" t="s">
        <v>530</v>
      </c>
      <c r="E281" s="98">
        <v>-0.27013566129243405</v>
      </c>
    </row>
    <row r="282" spans="3:5" x14ac:dyDescent="0.3">
      <c r="C282" s="100" t="s">
        <v>531</v>
      </c>
      <c r="D282" s="95" t="s">
        <v>532</v>
      </c>
      <c r="E282" s="98">
        <v>-1.0011508888339453</v>
      </c>
    </row>
    <row r="283" spans="3:5" x14ac:dyDescent="0.3">
      <c r="C283" s="100" t="s">
        <v>533</v>
      </c>
      <c r="D283" s="95" t="s">
        <v>534</v>
      </c>
      <c r="E283" s="98">
        <v>-1.2178157503954883</v>
      </c>
    </row>
    <row r="284" spans="3:5" x14ac:dyDescent="0.3">
      <c r="C284" s="100" t="s">
        <v>535</v>
      </c>
      <c r="D284" s="95" t="s">
        <v>536</v>
      </c>
      <c r="E284" s="98">
        <v>-0.13003548957878908</v>
      </c>
    </row>
    <row r="285" spans="3:5" x14ac:dyDescent="0.3">
      <c r="C285" s="100" t="s">
        <v>537</v>
      </c>
      <c r="D285" s="95" t="s">
        <v>538</v>
      </c>
      <c r="E285" s="98">
        <v>-0.83248515330494921</v>
      </c>
    </row>
    <row r="286" spans="3:5" x14ac:dyDescent="0.3">
      <c r="C286" s="100" t="s">
        <v>539</v>
      </c>
      <c r="D286" s="95" t="s">
        <v>540</v>
      </c>
      <c r="E286" s="98">
        <v>-0.66634112527057943</v>
      </c>
    </row>
    <row r="287" spans="3:5" x14ac:dyDescent="0.3">
      <c r="C287" s="100" t="s">
        <v>541</v>
      </c>
      <c r="D287" s="95" t="s">
        <v>542</v>
      </c>
      <c r="E287" s="98">
        <v>0.6902830186774217</v>
      </c>
    </row>
    <row r="288" spans="3:5" x14ac:dyDescent="0.3">
      <c r="C288" s="100" t="s">
        <v>543</v>
      </c>
      <c r="D288" s="95" t="s">
        <v>544</v>
      </c>
      <c r="E288" s="98">
        <v>-0.91204757464511133</v>
      </c>
    </row>
    <row r="289" spans="3:5" x14ac:dyDescent="0.3">
      <c r="C289" s="100" t="s">
        <v>545</v>
      </c>
      <c r="D289" s="95" t="s">
        <v>546</v>
      </c>
      <c r="E289" s="98">
        <v>-1.9835412578768477</v>
      </c>
    </row>
    <row r="290" spans="3:5" x14ac:dyDescent="0.3">
      <c r="C290" s="100" t="s">
        <v>547</v>
      </c>
      <c r="D290" s="95" t="s">
        <v>548</v>
      </c>
      <c r="E290" s="98">
        <v>-0.78388701714294451</v>
      </c>
    </row>
    <row r="291" spans="3:5" x14ac:dyDescent="0.3">
      <c r="C291" s="100" t="s">
        <v>549</v>
      </c>
      <c r="D291" s="95" t="s">
        <v>550</v>
      </c>
      <c r="E291" s="98">
        <v>-1.247856993581351</v>
      </c>
    </row>
    <row r="292" spans="3:5" x14ac:dyDescent="0.3">
      <c r="C292" s="100" t="s">
        <v>551</v>
      </c>
      <c r="D292" s="95" t="s">
        <v>552</v>
      </c>
      <c r="E292" s="98">
        <v>-7.4880212580981209E-2</v>
      </c>
    </row>
    <row r="293" spans="3:5" x14ac:dyDescent="0.3">
      <c r="C293" s="100" t="s">
        <v>553</v>
      </c>
      <c r="D293" s="95" t="s">
        <v>554</v>
      </c>
      <c r="E293" s="98">
        <v>-7.1024216987217531E-2</v>
      </c>
    </row>
    <row r="294" spans="3:5" x14ac:dyDescent="0.3">
      <c r="C294" s="100" t="s">
        <v>555</v>
      </c>
      <c r="D294" s="95" t="s">
        <v>556</v>
      </c>
      <c r="E294" s="98">
        <v>0.10683529770089252</v>
      </c>
    </row>
    <row r="295" spans="3:5" x14ac:dyDescent="0.3">
      <c r="C295" s="100" t="s">
        <v>557</v>
      </c>
      <c r="D295" s="95" t="s">
        <v>558</v>
      </c>
      <c r="E295" s="98">
        <v>-1.5301281430550779E-2</v>
      </c>
    </row>
    <row r="296" spans="3:5" x14ac:dyDescent="0.3">
      <c r="C296" s="100" t="s">
        <v>559</v>
      </c>
      <c r="D296" s="95" t="s">
        <v>560</v>
      </c>
      <c r="E296" s="98">
        <v>-1.091307096374849E-3</v>
      </c>
    </row>
    <row r="297" spans="3:5" x14ac:dyDescent="0.3">
      <c r="C297" s="100" t="s">
        <v>561</v>
      </c>
      <c r="D297" s="95" t="s">
        <v>562</v>
      </c>
      <c r="E297" s="98">
        <v>-4.1923810629924722E-2</v>
      </c>
    </row>
    <row r="298" spans="3:5" x14ac:dyDescent="0.3">
      <c r="C298" s="100" t="s">
        <v>563</v>
      </c>
      <c r="D298" s="95" t="s">
        <v>564</v>
      </c>
      <c r="E298" s="98">
        <v>1.6650290381202602E-2</v>
      </c>
    </row>
    <row r="299" spans="3:5" x14ac:dyDescent="0.3">
      <c r="C299" s="100" t="s">
        <v>565</v>
      </c>
      <c r="D299" s="95" t="s">
        <v>566</v>
      </c>
      <c r="E299" s="98">
        <v>2.1780714557390519E-2</v>
      </c>
    </row>
    <row r="300" spans="3:5" x14ac:dyDescent="0.3">
      <c r="C300" s="100" t="s">
        <v>567</v>
      </c>
      <c r="D300" s="95" t="s">
        <v>568</v>
      </c>
      <c r="E300" s="98">
        <v>2.4100546294522775E-2</v>
      </c>
    </row>
    <row r="301" spans="3:5" x14ac:dyDescent="0.3">
      <c r="C301" s="100" t="s">
        <v>569</v>
      </c>
      <c r="D301" s="95" t="s">
        <v>570</v>
      </c>
      <c r="E301" s="98">
        <v>6.2322299554028265E-2</v>
      </c>
    </row>
    <row r="302" spans="3:5" x14ac:dyDescent="0.3">
      <c r="C302" s="100" t="s">
        <v>571</v>
      </c>
      <c r="D302" s="95" t="s">
        <v>572</v>
      </c>
      <c r="E302" s="98">
        <v>-8.1707732304247632E-2</v>
      </c>
    </row>
    <row r="303" spans="3:5" x14ac:dyDescent="0.3">
      <c r="C303" s="100" t="s">
        <v>573</v>
      </c>
      <c r="D303" s="95" t="s">
        <v>574</v>
      </c>
      <c r="E303" s="98">
        <v>-0.12498343491574795</v>
      </c>
    </row>
    <row r="304" spans="3:5" x14ac:dyDescent="0.3">
      <c r="C304" s="100" t="s">
        <v>575</v>
      </c>
      <c r="D304" s="95" t="s">
        <v>576</v>
      </c>
      <c r="E304" s="98">
        <v>-5.1813506426709358E-2</v>
      </c>
    </row>
    <row r="305" spans="3:5" x14ac:dyDescent="0.3">
      <c r="C305" s="100" t="s">
        <v>577</v>
      </c>
      <c r="D305" s="95" t="s">
        <v>578</v>
      </c>
      <c r="E305" s="98">
        <v>7.8558755783818587E-2</v>
      </c>
    </row>
    <row r="306" spans="3:5" x14ac:dyDescent="0.3">
      <c r="C306" s="100" t="s">
        <v>579</v>
      </c>
      <c r="D306" s="95" t="s">
        <v>580</v>
      </c>
      <c r="E306" s="98">
        <v>-0.74842856101708821</v>
      </c>
    </row>
    <row r="307" spans="3:5" x14ac:dyDescent="0.3">
      <c r="C307" s="100" t="s">
        <v>581</v>
      </c>
      <c r="D307" s="95" t="s">
        <v>582</v>
      </c>
      <c r="E307" s="98">
        <v>-0.39389916227188543</v>
      </c>
    </row>
    <row r="308" spans="3:5" x14ac:dyDescent="0.3">
      <c r="C308" s="100" t="s">
        <v>583</v>
      </c>
      <c r="D308" s="95" t="s">
        <v>584</v>
      </c>
      <c r="E308" s="98">
        <v>-5.7771645246291664E-2</v>
      </c>
    </row>
    <row r="309" spans="3:5" x14ac:dyDescent="0.3">
      <c r="C309" s="100" t="s">
        <v>585</v>
      </c>
      <c r="D309" s="95" t="s">
        <v>586</v>
      </c>
      <c r="E309" s="98">
        <v>0.42270762515824301</v>
      </c>
    </row>
    <row r="310" spans="3:5" x14ac:dyDescent="0.3">
      <c r="C310" s="100" t="s">
        <v>587</v>
      </c>
      <c r="D310" s="95" t="s">
        <v>588</v>
      </c>
      <c r="E310" s="98">
        <v>0.41365956318188429</v>
      </c>
    </row>
    <row r="311" spans="3:5" x14ac:dyDescent="0.3">
      <c r="C311" s="100" t="s">
        <v>589</v>
      </c>
      <c r="D311" s="95" t="s">
        <v>590</v>
      </c>
      <c r="E311" s="98">
        <v>-0.75432485152284257</v>
      </c>
    </row>
    <row r="312" spans="3:5" x14ac:dyDescent="0.3">
      <c r="C312" s="100" t="s">
        <v>591</v>
      </c>
      <c r="D312" s="95" t="s">
        <v>592</v>
      </c>
      <c r="E312" s="98">
        <v>0.26070087079334892</v>
      </c>
    </row>
    <row r="313" spans="3:5" x14ac:dyDescent="0.3">
      <c r="C313" s="100" t="s">
        <v>593</v>
      </c>
      <c r="D313" s="95" t="s">
        <v>594</v>
      </c>
      <c r="E313" s="98">
        <v>0.31626541053495383</v>
      </c>
    </row>
    <row r="314" spans="3:5" x14ac:dyDescent="0.3">
      <c r="C314" s="100" t="s">
        <v>595</v>
      </c>
      <c r="D314" s="95" t="s">
        <v>596</v>
      </c>
      <c r="E314" s="98">
        <v>0.42822958547969603</v>
      </c>
    </row>
    <row r="315" spans="3:5" x14ac:dyDescent="0.3">
      <c r="C315" s="100" t="s">
        <v>597</v>
      </c>
      <c r="D315" s="95" t="s">
        <v>598</v>
      </c>
      <c r="E315" s="98">
        <v>0.60678562530316427</v>
      </c>
    </row>
    <row r="316" spans="3:5" x14ac:dyDescent="0.3">
      <c r="C316" s="100" t="s">
        <v>599</v>
      </c>
      <c r="D316" s="95" t="s">
        <v>600</v>
      </c>
      <c r="E316" s="98">
        <v>-0.37490990258026258</v>
      </c>
    </row>
    <row r="317" spans="3:5" x14ac:dyDescent="0.3">
      <c r="C317" s="100" t="s">
        <v>601</v>
      </c>
      <c r="D317" s="95" t="s">
        <v>602</v>
      </c>
      <c r="E317" s="98">
        <v>-0.89113741313105421</v>
      </c>
    </row>
    <row r="318" spans="3:5" x14ac:dyDescent="0.3">
      <c r="C318" s="100" t="s">
        <v>603</v>
      </c>
      <c r="D318" s="95" t="s">
        <v>604</v>
      </c>
      <c r="E318" s="98">
        <v>-0.41242808074221643</v>
      </c>
    </row>
    <row r="319" spans="3:5" x14ac:dyDescent="0.3">
      <c r="C319" s="100" t="s">
        <v>605</v>
      </c>
      <c r="D319" s="95" t="s">
        <v>606</v>
      </c>
      <c r="E319" s="98">
        <v>-0.20970837744725468</v>
      </c>
    </row>
    <row r="320" spans="3:5" x14ac:dyDescent="0.3">
      <c r="C320" s="100" t="s">
        <v>607</v>
      </c>
      <c r="D320" s="95" t="s">
        <v>608</v>
      </c>
      <c r="E320" s="98">
        <v>-1.5975861847549253</v>
      </c>
    </row>
  </sheetData>
  <mergeCells count="6">
    <mergeCell ref="B20:B21"/>
    <mergeCell ref="C20:M20"/>
    <mergeCell ref="C80:C81"/>
    <mergeCell ref="D80:E80"/>
    <mergeCell ref="J81:J82"/>
    <mergeCell ref="K81:V81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STICA.Graph" shapeId="5121" r:id="rId3">
          <objectPr defaultSize="0" r:id="rId4">
            <anchor moveWithCells="1">
              <from>
                <xdr:col>3</xdr:col>
                <xdr:colOff>0</xdr:colOff>
                <xdr:row>39</xdr:row>
                <xdr:rowOff>0</xdr:rowOff>
              </from>
              <to>
                <xdr:col>17</xdr:col>
                <xdr:colOff>220980</xdr:colOff>
                <xdr:row>74</xdr:row>
                <xdr:rowOff>129540</xdr:rowOff>
              </to>
            </anchor>
          </objectPr>
        </oleObject>
      </mc:Choice>
      <mc:Fallback>
        <oleObject progId="STATISTICA.Graph" shapeId="5121" r:id="rId3"/>
      </mc:Fallback>
    </mc:AlternateContent>
    <mc:AlternateContent xmlns:mc="http://schemas.openxmlformats.org/markup-compatibility/2006">
      <mc:Choice Requires="x14">
        <oleObject progId="STATISTICA.Graph" shapeId="5122" r:id="rId5">
          <objectPr defaultSize="0" r:id="rId6">
            <anchor moveWithCells="1">
              <from>
                <xdr:col>9</xdr:col>
                <xdr:colOff>0</xdr:colOff>
                <xdr:row>89</xdr:row>
                <xdr:rowOff>0</xdr:rowOff>
              </from>
              <to>
                <xdr:col>23</xdr:col>
                <xdr:colOff>220980</xdr:colOff>
                <xdr:row>124</xdr:row>
                <xdr:rowOff>129540</xdr:rowOff>
              </to>
            </anchor>
          </objectPr>
        </oleObject>
      </mc:Choice>
      <mc:Fallback>
        <oleObject progId="STATISTICA.Graph" shapeId="5122" r:id="rId5"/>
      </mc:Fallback>
    </mc:AlternateContent>
    <mc:AlternateContent xmlns:mc="http://schemas.openxmlformats.org/markup-compatibility/2006">
      <mc:Choice Requires="x14">
        <oleObject progId="STATISTICA.Graph" shapeId="5123" r:id="rId7">
          <objectPr defaultSize="0" r:id="rId8">
            <anchor moveWithCells="1">
              <from>
                <xdr:col>11</xdr:col>
                <xdr:colOff>0</xdr:colOff>
                <xdr:row>130</xdr:row>
                <xdr:rowOff>0</xdr:rowOff>
              </from>
              <to>
                <xdr:col>25</xdr:col>
                <xdr:colOff>220980</xdr:colOff>
                <xdr:row>165</xdr:row>
                <xdr:rowOff>129540</xdr:rowOff>
              </to>
            </anchor>
          </objectPr>
        </oleObject>
      </mc:Choice>
      <mc:Fallback>
        <oleObject progId="STATISTICA.Graph" shapeId="5123" r:id="rId7"/>
      </mc:Fallback>
    </mc:AlternateContent>
    <mc:AlternateContent xmlns:mc="http://schemas.openxmlformats.org/markup-compatibility/2006">
      <mc:Choice Requires="x14">
        <oleObject progId="STATISTICA.Graph" shapeId="5124" r:id="rId9">
          <objectPr defaultSize="0" r:id="rId10">
            <anchor moveWithCells="1">
              <from>
                <xdr:col>13</xdr:col>
                <xdr:colOff>0</xdr:colOff>
                <xdr:row>171</xdr:row>
                <xdr:rowOff>0</xdr:rowOff>
              </from>
              <to>
                <xdr:col>27</xdr:col>
                <xdr:colOff>220980</xdr:colOff>
                <xdr:row>206</xdr:row>
                <xdr:rowOff>129540</xdr:rowOff>
              </to>
            </anchor>
          </objectPr>
        </oleObject>
      </mc:Choice>
      <mc:Fallback>
        <oleObject progId="STATISTICA.Graph" shapeId="5124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 PCM (Control)</vt:lpstr>
      <vt:lpstr>ANN</vt:lpstr>
      <vt:lpstr>Parafin</vt:lpstr>
      <vt:lpstr>Beeswax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Safarudin Gazali</cp:lastModifiedBy>
  <dcterms:modified xsi:type="dcterms:W3CDTF">2024-10-24T10:01:05Z</dcterms:modified>
</cp:coreProperties>
</file>